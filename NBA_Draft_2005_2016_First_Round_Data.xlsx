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hidePivotFieldList="1"/>
  <xr:revisionPtr revIDLastSave="0" documentId="8_{50B67060-E035-4E56-B9A7-A92DD0B4BA53}" xr6:coauthVersionLast="47" xr6:coauthVersionMax="47" xr10:uidLastSave="{00000000-0000-0000-0000-000000000000}"/>
  <bookViews>
    <workbookView xWindow="0" yWindow="0" windowWidth="0" windowHeight="0" xr2:uid="{00000000-000D-0000-FFFF-FFFF00000000}"/>
  </bookViews>
  <sheets>
    <sheet name="Dashboard" sheetId="6" r:id="rId1"/>
    <sheet name="DraftData" sheetId="1" r:id="rId2"/>
    <sheet name="Methodology" sheetId="2" r:id="rId3"/>
    <sheet name="Pivot Tables" sheetId="4" r:id="rId4"/>
    <sheet name="Charts" sheetId="5" r:id="rId5"/>
    <sheet name="Lookup Tables" sheetId="7" r:id="rId6"/>
  </sheets>
  <calcPr calcId="191028"/>
  <pivotCaches>
    <pivotCache cacheId="495"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 i="1" l="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alcChain>
</file>

<file path=xl/sharedStrings.xml><?xml version="1.0" encoding="utf-8"?>
<sst xmlns="http://schemas.openxmlformats.org/spreadsheetml/2006/main" count="1101" uniqueCount="538">
  <si>
    <t>NBA Draft Value Analysis (2005–2016 First-Round Picks)</t>
  </si>
  <si>
    <r>
      <rPr>
        <sz val="14"/>
        <color rgb="FF000000"/>
        <rFont val="Calibri"/>
        <scheme val="minor"/>
      </rPr>
      <t xml:space="preserve">Avg Win Shares
</t>
    </r>
    <r>
      <rPr>
        <sz val="11"/>
        <color rgb="FF000000"/>
        <rFont val="Calibri"/>
        <scheme val="minor"/>
      </rPr>
      <t xml:space="preserve">
</t>
    </r>
    <r>
      <rPr>
        <b/>
        <sz val="20"/>
        <color rgb="FF000000"/>
        <rFont val="Calibri"/>
        <scheme val="minor"/>
      </rPr>
      <t xml:space="preserve">23.85
</t>
    </r>
  </si>
  <si>
    <r>
      <rPr>
        <sz val="14"/>
        <color rgb="FF000000"/>
        <rFont val="Calibri"/>
        <scheme val="minor"/>
      </rPr>
      <t xml:space="preserve">Avg Games
</t>
    </r>
    <r>
      <rPr>
        <sz val="11"/>
        <color rgb="FF000000"/>
        <rFont val="Calibri"/>
        <scheme val="minor"/>
      </rPr>
      <t xml:space="preserve">
</t>
    </r>
    <r>
      <rPr>
        <b/>
        <sz val="20"/>
        <color rgb="FF000000"/>
        <rFont val="Calibri"/>
        <scheme val="minor"/>
      </rPr>
      <t xml:space="preserve">438.21
</t>
    </r>
  </si>
  <si>
    <r>
      <rPr>
        <sz val="14"/>
        <color rgb="FF000000"/>
        <rFont val="Calibri"/>
        <scheme val="minor"/>
      </rPr>
      <t xml:space="preserve">Bust Rate
</t>
    </r>
    <r>
      <rPr>
        <b/>
        <sz val="20"/>
        <color rgb="FF000000"/>
        <rFont val="Calibri"/>
        <scheme val="minor"/>
      </rPr>
      <t xml:space="preserve">
13.33%
</t>
    </r>
  </si>
  <si>
    <r>
      <rPr>
        <sz val="14"/>
        <color rgb="FF000000"/>
        <rFont val="Calibri"/>
        <scheme val="minor"/>
      </rPr>
      <t xml:space="preserve">Highest Value Above Expected
</t>
    </r>
    <r>
      <rPr>
        <b/>
        <sz val="20"/>
        <color rgb="FF000000"/>
        <rFont val="Calibri"/>
        <scheme val="minor"/>
      </rPr>
      <t xml:space="preserve">
Chris Paul</t>
    </r>
  </si>
  <si>
    <t>Average WS Bar Chart</t>
  </si>
  <si>
    <t>Draft vs Career WS Scatter Plot</t>
  </si>
  <si>
    <t>Career Outcomes Pie Chart</t>
  </si>
  <si>
    <t>Average BPM Bar Chart</t>
  </si>
  <si>
    <t>Average Games Bar Chart</t>
  </si>
  <si>
    <t>Year</t>
  </si>
  <si>
    <t>Pick</t>
  </si>
  <si>
    <t>Team</t>
  </si>
  <si>
    <t>Player</t>
  </si>
  <si>
    <t>College</t>
  </si>
  <si>
    <t>Games</t>
  </si>
  <si>
    <t>Minutes</t>
  </si>
  <si>
    <t>Points</t>
  </si>
  <si>
    <t>Rebounds</t>
  </si>
  <si>
    <t>Assists</t>
  </si>
  <si>
    <t>FG%</t>
  </si>
  <si>
    <t>3P%</t>
  </si>
  <si>
    <t>FT%</t>
  </si>
  <si>
    <t>Win Shares</t>
  </si>
  <si>
    <t>WS/48</t>
  </si>
  <si>
    <t>BPM</t>
  </si>
  <si>
    <t>VORP</t>
  </si>
  <si>
    <t>MPG</t>
  </si>
  <si>
    <t>PPG</t>
  </si>
  <si>
    <t>RPG</t>
  </si>
  <si>
    <t>APG</t>
  </si>
  <si>
    <t>Pick Range</t>
  </si>
  <si>
    <t>Career Tier</t>
  </si>
  <si>
    <t>Bust?</t>
  </si>
  <si>
    <t>Pick Efficiency</t>
  </si>
  <si>
    <t>Value Above Expected</t>
  </si>
  <si>
    <t>MIL</t>
  </si>
  <si>
    <t>Andrew Bogut</t>
  </si>
  <si>
    <t>Utah</t>
  </si>
  <si>
    <t>ATL</t>
  </si>
  <si>
    <t>Marvin Williams</t>
  </si>
  <si>
    <t>UNC</t>
  </si>
  <si>
    <t>UTA</t>
  </si>
  <si>
    <t>Deron Williams</t>
  </si>
  <si>
    <t>Illinois</t>
  </si>
  <si>
    <t>NOP</t>
  </si>
  <si>
    <t>Chris Paul</t>
  </si>
  <si>
    <t>Wake Forest</t>
  </si>
  <si>
    <t>CHA</t>
  </si>
  <si>
    <t>Raymond Felton</t>
  </si>
  <si>
    <t>POR</t>
  </si>
  <si>
    <t>Martell Webster</t>
  </si>
  <si>
    <t>TOR</t>
  </si>
  <si>
    <t>Charlie Villanueva</t>
  </si>
  <si>
    <t>UConn</t>
  </si>
  <si>
    <t>NYK</t>
  </si>
  <si>
    <t>Channing Frye</t>
  </si>
  <si>
    <t>Arizona</t>
  </si>
  <si>
    <t>GSW</t>
  </si>
  <si>
    <t>Ike Diogu</t>
  </si>
  <si>
    <t>Arizona State</t>
  </si>
  <si>
    <t>LAL</t>
  </si>
  <si>
    <t>Andrew Bynum</t>
  </si>
  <si>
    <t>ORL</t>
  </si>
  <si>
    <t>Fran Vázquez</t>
  </si>
  <si>
    <t>LAC</t>
  </si>
  <si>
    <t>Yaroslav Korolev</t>
  </si>
  <si>
    <t>Sean May</t>
  </si>
  <si>
    <t>MIN</t>
  </si>
  <si>
    <t>Rashad McCants</t>
  </si>
  <si>
    <t>BRK</t>
  </si>
  <si>
    <t>Antoine Wright</t>
  </si>
  <si>
    <t>Texas A&amp;M</t>
  </si>
  <si>
    <t>Joey Graham</t>
  </si>
  <si>
    <t>Oklahoma State</t>
  </si>
  <si>
    <t>IND</t>
  </si>
  <si>
    <t>Danny Granger</t>
  </si>
  <si>
    <t>New Mexico</t>
  </si>
  <si>
    <t>BOS</t>
  </si>
  <si>
    <t>Gerald Green</t>
  </si>
  <si>
    <t>MEM</t>
  </si>
  <si>
    <t>Hakim Warrick</t>
  </si>
  <si>
    <t>Syracuse</t>
  </si>
  <si>
    <t>DEN</t>
  </si>
  <si>
    <t>Julius Hodge</t>
  </si>
  <si>
    <t>NC State</t>
  </si>
  <si>
    <t>PHO</t>
  </si>
  <si>
    <t>Nate Robinson</t>
  </si>
  <si>
    <t>Washington</t>
  </si>
  <si>
    <t>Jarrett Jack</t>
  </si>
  <si>
    <t>Georgia Tech</t>
  </si>
  <si>
    <t>SAC</t>
  </si>
  <si>
    <t>Francisco García</t>
  </si>
  <si>
    <t>Louisville</t>
  </si>
  <si>
    <t>HOU</t>
  </si>
  <si>
    <t>Luther Head</t>
  </si>
  <si>
    <t>OKC</t>
  </si>
  <si>
    <t>Johan Petro</t>
  </si>
  <si>
    <t>DET</t>
  </si>
  <si>
    <t>Jason Maxiell</t>
  </si>
  <si>
    <t>Cincinnati</t>
  </si>
  <si>
    <t>Linas Kleiza</t>
  </si>
  <si>
    <t>Missouri</t>
  </si>
  <si>
    <t>SAS</t>
  </si>
  <si>
    <t>Ian Mahinmi</t>
  </si>
  <si>
    <t>MIA</t>
  </si>
  <si>
    <t>Wayne Simien</t>
  </si>
  <si>
    <t>Kansas</t>
  </si>
  <si>
    <t>David Lee</t>
  </si>
  <si>
    <t>Florida</t>
  </si>
  <si>
    <t>Andrea Bargnani</t>
  </si>
  <si>
    <t>CHI</t>
  </si>
  <si>
    <t>LaMarcus Aldridge</t>
  </si>
  <si>
    <t>Texas</t>
  </si>
  <si>
    <t>Adam Morrison</t>
  </si>
  <si>
    <t>Gonzaga</t>
  </si>
  <si>
    <t>Tyrus Thomas</t>
  </si>
  <si>
    <t>LSU</t>
  </si>
  <si>
    <t>Shelden Williams</t>
  </si>
  <si>
    <t>Duke</t>
  </si>
  <si>
    <t>Brandon Roy</t>
  </si>
  <si>
    <t>Randy Foye</t>
  </si>
  <si>
    <t>Villanova</t>
  </si>
  <si>
    <t>Rudy Gay</t>
  </si>
  <si>
    <t>Patrick O'Bryant</t>
  </si>
  <si>
    <t>Bradley</t>
  </si>
  <si>
    <t>Mouhamed Sene</t>
  </si>
  <si>
    <t>J.J. Redick</t>
  </si>
  <si>
    <t>Hilton Armstrong</t>
  </si>
  <si>
    <t>PHI</t>
  </si>
  <si>
    <t>Thabo Sefolosha</t>
  </si>
  <si>
    <t>Ronnie Brewer</t>
  </si>
  <si>
    <t>Arkansas</t>
  </si>
  <si>
    <t>Cedric Simmons</t>
  </si>
  <si>
    <t>Rodney Carney</t>
  </si>
  <si>
    <t>Memphis</t>
  </si>
  <si>
    <t>Shawne Williams</t>
  </si>
  <si>
    <t>WAS</t>
  </si>
  <si>
    <t>Oleksiy Pecherov</t>
  </si>
  <si>
    <t>Quincy Douby</t>
  </si>
  <si>
    <t>Rutgers University</t>
  </si>
  <si>
    <t>Renaldo Balkman</t>
  </si>
  <si>
    <t>South Carolina</t>
  </si>
  <si>
    <t>Rajon Rondo</t>
  </si>
  <si>
    <t>Kentucky</t>
  </si>
  <si>
    <t>Marcus Williams</t>
  </si>
  <si>
    <t>Josh Boone</t>
  </si>
  <si>
    <t>Kyle Lowry</t>
  </si>
  <si>
    <t>CLE</t>
  </si>
  <si>
    <t>Shannon Brown</t>
  </si>
  <si>
    <t>Michigan State</t>
  </si>
  <si>
    <t>Jordan Farmar</t>
  </si>
  <si>
    <t>UCLA</t>
  </si>
  <si>
    <t>Sergio Rodríguez</t>
  </si>
  <si>
    <t>DAL</t>
  </si>
  <si>
    <t>Maurice Ager</t>
  </si>
  <si>
    <t>Mardy Collins</t>
  </si>
  <si>
    <t>Temple</t>
  </si>
  <si>
    <t>Joel Freeland</t>
  </si>
  <si>
    <t>Greg Oden</t>
  </si>
  <si>
    <t>Ohio State</t>
  </si>
  <si>
    <t>Kevin Durant</t>
  </si>
  <si>
    <t>Al Horford</t>
  </si>
  <si>
    <t>Mike Conley</t>
  </si>
  <si>
    <t>Jeff Green</t>
  </si>
  <si>
    <t>Georgetown</t>
  </si>
  <si>
    <t>Yi Jianlian</t>
  </si>
  <si>
    <t>Corey Brewer</t>
  </si>
  <si>
    <t>Brandan Wright</t>
  </si>
  <si>
    <t>Joakim Noah</t>
  </si>
  <si>
    <t>Spencer Hawes</t>
  </si>
  <si>
    <t>Acie Law</t>
  </si>
  <si>
    <t>Thaddeus Young</t>
  </si>
  <si>
    <t>Julian Wright</t>
  </si>
  <si>
    <t>Al Thornton</t>
  </si>
  <si>
    <t>Florida State</t>
  </si>
  <si>
    <t>Rodney Stuckey</t>
  </si>
  <si>
    <t>Eastern Washington</t>
  </si>
  <si>
    <t>Nick Young</t>
  </si>
  <si>
    <t>USC</t>
  </si>
  <si>
    <t>Sean Williams</t>
  </si>
  <si>
    <t>Boston College</t>
  </si>
  <si>
    <t>Marco Belinelli</t>
  </si>
  <si>
    <t>Javaris Crittenton</t>
  </si>
  <si>
    <t>Jason Smith</t>
  </si>
  <si>
    <t>Colorado State</t>
  </si>
  <si>
    <t>Daequan Cook</t>
  </si>
  <si>
    <t>Jared Dudley</t>
  </si>
  <si>
    <t>Wilson Chandler</t>
  </si>
  <si>
    <t>DePaul</t>
  </si>
  <si>
    <t>Rudy Fernández</t>
  </si>
  <si>
    <t>Morris Almond</t>
  </si>
  <si>
    <t>Rice University</t>
  </si>
  <si>
    <t>Aaron Brooks</t>
  </si>
  <si>
    <t>Oregon</t>
  </si>
  <si>
    <t>Arron Afflalo</t>
  </si>
  <si>
    <t>Tiago Splitter</t>
  </si>
  <si>
    <t>Alando Tucker</t>
  </si>
  <si>
    <t>Wisconsin</t>
  </si>
  <si>
    <t>Petteri Koponen</t>
  </si>
  <si>
    <t>Derrick Rose</t>
  </si>
  <si>
    <t>Michael Beasley</t>
  </si>
  <si>
    <t>Kansas State</t>
  </si>
  <si>
    <t>O.J. Mayo</t>
  </si>
  <si>
    <t>Russell Westbrook</t>
  </si>
  <si>
    <t>Kevin Love</t>
  </si>
  <si>
    <t>Danilo Gallinari</t>
  </si>
  <si>
    <t>Eric Gordon</t>
  </si>
  <si>
    <t>Indiana</t>
  </si>
  <si>
    <t>Joe Alexander</t>
  </si>
  <si>
    <t>West Virginia</t>
  </si>
  <si>
    <t>D.J. Augustin</t>
  </si>
  <si>
    <t>Brook Lopez</t>
  </si>
  <si>
    <t>Stanford</t>
  </si>
  <si>
    <t>Jerryd Bayless</t>
  </si>
  <si>
    <t>Jason Thompson</t>
  </si>
  <si>
    <t>Rider University</t>
  </si>
  <si>
    <t>Brandon Rush</t>
  </si>
  <si>
    <t>Anthony Randolph</t>
  </si>
  <si>
    <t>Robin Lopez</t>
  </si>
  <si>
    <t>Marreese Speights</t>
  </si>
  <si>
    <t>Roy Hibbert</t>
  </si>
  <si>
    <t>JaVale McGee</t>
  </si>
  <si>
    <t>Nevada</t>
  </si>
  <si>
    <t>J.J. Hickson</t>
  </si>
  <si>
    <t>Alexis Ajinça</t>
  </si>
  <si>
    <t>Ryan Anderson</t>
  </si>
  <si>
    <t>California</t>
  </si>
  <si>
    <t>Courtney Lee</t>
  </si>
  <si>
    <t>Western Kentucky</t>
  </si>
  <si>
    <t>Kosta Koufos</t>
  </si>
  <si>
    <t>Serge Ibaka</t>
  </si>
  <si>
    <t>Nicolas Batum</t>
  </si>
  <si>
    <t>George Hill</t>
  </si>
  <si>
    <t>IUPUI</t>
  </si>
  <si>
    <t>Darrell Arthur</t>
  </si>
  <si>
    <t>Donté Greene</t>
  </si>
  <si>
    <t>D.J. White</t>
  </si>
  <si>
    <t>J.R. Giddens</t>
  </si>
  <si>
    <t>Blake Griffin</t>
  </si>
  <si>
    <t>Oklahoma</t>
  </si>
  <si>
    <t>Hasheem Thabeet</t>
  </si>
  <si>
    <t>James Harden</t>
  </si>
  <si>
    <t>Tyreke Evans</t>
  </si>
  <si>
    <t>Ricky Rubio</t>
  </si>
  <si>
    <t>Jonny Flynn</t>
  </si>
  <si>
    <t>Stephen Curry</t>
  </si>
  <si>
    <t>Davidson</t>
  </si>
  <si>
    <t>Jordan Hill</t>
  </si>
  <si>
    <t>DeMar DeRozan</t>
  </si>
  <si>
    <t>Brandon Jennings</t>
  </si>
  <si>
    <t>Terrence Williams</t>
  </si>
  <si>
    <t>Gerald Henderson</t>
  </si>
  <si>
    <t>Tyler Hansbrough</t>
  </si>
  <si>
    <t>Earl Clark</t>
  </si>
  <si>
    <t>Austin Daye</t>
  </si>
  <si>
    <t>James Johnson</t>
  </si>
  <si>
    <t>Jrue Holiday</t>
  </si>
  <si>
    <t>Ty Lawson</t>
  </si>
  <si>
    <t>Jeff Teague</t>
  </si>
  <si>
    <t>Eric Maynor</t>
  </si>
  <si>
    <t>VCU</t>
  </si>
  <si>
    <t>Darren Collison</t>
  </si>
  <si>
    <t>Victor Claver</t>
  </si>
  <si>
    <t>Omri Casspi</t>
  </si>
  <si>
    <t>Byron Mullens</t>
  </si>
  <si>
    <t>Rodrigue Beaubois</t>
  </si>
  <si>
    <t>Taj Gibson</t>
  </si>
  <si>
    <t>DeMarre Carroll</t>
  </si>
  <si>
    <t>Wayne Ellington</t>
  </si>
  <si>
    <t>Toney Douglas</t>
  </si>
  <si>
    <t>Christian Eyenga</t>
  </si>
  <si>
    <t>John Wall</t>
  </si>
  <si>
    <t>Evan Turner</t>
  </si>
  <si>
    <t>Derrick Favors</t>
  </si>
  <si>
    <t>Wesley Johnson</t>
  </si>
  <si>
    <t>DeMarcus Cousins</t>
  </si>
  <si>
    <t>Ekpe Udoh</t>
  </si>
  <si>
    <t>Baylor</t>
  </si>
  <si>
    <t>Greg Monroe</t>
  </si>
  <si>
    <t>Al-Farouq Aminu</t>
  </si>
  <si>
    <t>Gordon Hayward</t>
  </si>
  <si>
    <t>Butler</t>
  </si>
  <si>
    <t>Paul George</t>
  </si>
  <si>
    <t>Fresno State</t>
  </si>
  <si>
    <t>Cole Aldrich</t>
  </si>
  <si>
    <t>Xavier Henry</t>
  </si>
  <si>
    <t>Ed Davis</t>
  </si>
  <si>
    <t>Patrick Patterson</t>
  </si>
  <si>
    <t>Larry Sanders</t>
  </si>
  <si>
    <t>Luke Babbitt</t>
  </si>
  <si>
    <t>Kevin Séraphin</t>
  </si>
  <si>
    <t>Eric Bledsoe</t>
  </si>
  <si>
    <t>Avery Bradley</t>
  </si>
  <si>
    <t>James Anderson</t>
  </si>
  <si>
    <t>Craig Brackins</t>
  </si>
  <si>
    <t>Iowa State</t>
  </si>
  <si>
    <t>Elliot Williams</t>
  </si>
  <si>
    <t>Trevor Booker</t>
  </si>
  <si>
    <t>Clemson</t>
  </si>
  <si>
    <t>Damion James</t>
  </si>
  <si>
    <t>Dominique Jones</t>
  </si>
  <si>
    <t>South Florida</t>
  </si>
  <si>
    <t>Quincy Pondexter</t>
  </si>
  <si>
    <t>Jordan Crawford</t>
  </si>
  <si>
    <t>Xavier</t>
  </si>
  <si>
    <t>Greivis Vásquez</t>
  </si>
  <si>
    <t>Maryland</t>
  </si>
  <si>
    <t>Daniel Orton</t>
  </si>
  <si>
    <t>Lazar Hayward</t>
  </si>
  <si>
    <t>Marquette</t>
  </si>
  <si>
    <t>Kyrie Irving</t>
  </si>
  <si>
    <t>Derrick Williams</t>
  </si>
  <si>
    <t>Enes Freedom</t>
  </si>
  <si>
    <t>Tristan Thompson</t>
  </si>
  <si>
    <t>Jonas Valančiūnas</t>
  </si>
  <si>
    <t>Jan Veselý</t>
  </si>
  <si>
    <t>Bismack Biyombo</t>
  </si>
  <si>
    <t>Brandon Knight</t>
  </si>
  <si>
    <t>Kemba Walker</t>
  </si>
  <si>
    <t>Jimmer Fredette</t>
  </si>
  <si>
    <t>BYU</t>
  </si>
  <si>
    <t>Klay Thompson</t>
  </si>
  <si>
    <t>Washington State</t>
  </si>
  <si>
    <t>Alec Burks</t>
  </si>
  <si>
    <t>Colorado</t>
  </si>
  <si>
    <t>Markieff Morris</t>
  </si>
  <si>
    <t>Marcus Morris</t>
  </si>
  <si>
    <t>Kawhi Leonard</t>
  </si>
  <si>
    <t>San Diego State</t>
  </si>
  <si>
    <t>Nikola Vučević</t>
  </si>
  <si>
    <t>Iman Shumpert</t>
  </si>
  <si>
    <t>Chris Singleton</t>
  </si>
  <si>
    <t>Tobias Harris</t>
  </si>
  <si>
    <t>Tennessee</t>
  </si>
  <si>
    <t>Donatas Motiejūnas</t>
  </si>
  <si>
    <t>Nolan Smith</t>
  </si>
  <si>
    <t>Kenneth Faried</t>
  </si>
  <si>
    <t>Morehead State University</t>
  </si>
  <si>
    <t>Nikola Mirotić</t>
  </si>
  <si>
    <t>Reggie Jackson</t>
  </si>
  <si>
    <t>MarShon Brooks</t>
  </si>
  <si>
    <t>Providence</t>
  </si>
  <si>
    <t>Jordan Hamilton</t>
  </si>
  <si>
    <t>JaJuan Johnson</t>
  </si>
  <si>
    <t>Purdue</t>
  </si>
  <si>
    <t>Norris Cole</t>
  </si>
  <si>
    <t>Cleveland State University</t>
  </si>
  <si>
    <t>Cory Joseph</t>
  </si>
  <si>
    <t>Jimmy Butler</t>
  </si>
  <si>
    <t>Anthony Davis</t>
  </si>
  <si>
    <t>Michael Kidd-Gilchrist</t>
  </si>
  <si>
    <t>Bradley Beal</t>
  </si>
  <si>
    <t>Dion Waiters</t>
  </si>
  <si>
    <t>Thomas Robinson</t>
  </si>
  <si>
    <t>Damian Lillard</t>
  </si>
  <si>
    <t>Weber State</t>
  </si>
  <si>
    <t>Harrison Barnes</t>
  </si>
  <si>
    <t>Terrence Ross</t>
  </si>
  <si>
    <t>Andre Drummond</t>
  </si>
  <si>
    <t>Austin Rivers</t>
  </si>
  <si>
    <t>Meyers Leonard</t>
  </si>
  <si>
    <t>Jeremy Lamb</t>
  </si>
  <si>
    <t>Kendall Marshall</t>
  </si>
  <si>
    <t>John Henson</t>
  </si>
  <si>
    <t>Maurice Harkless</t>
  </si>
  <si>
    <t>St. John's</t>
  </si>
  <si>
    <t>Royce White</t>
  </si>
  <si>
    <t>Tyler Zeller</t>
  </si>
  <si>
    <t>Terrence Jones</t>
  </si>
  <si>
    <t>Andrew Nicholson</t>
  </si>
  <si>
    <t>St. Bonaventure</t>
  </si>
  <si>
    <t>Evan Fournier</t>
  </si>
  <si>
    <t>Jared Sullinger</t>
  </si>
  <si>
    <t>Fab Melo</t>
  </si>
  <si>
    <t>John Jenkins</t>
  </si>
  <si>
    <t>Vanderbilt</t>
  </si>
  <si>
    <t>Jared Cunningham</t>
  </si>
  <si>
    <t>Oregon State</t>
  </si>
  <si>
    <t>Tony Wroten</t>
  </si>
  <si>
    <t>Miles Plumlee</t>
  </si>
  <si>
    <t>Arnett Moultrie</t>
  </si>
  <si>
    <t>Mississippi State</t>
  </si>
  <si>
    <t>Perry Jones</t>
  </si>
  <si>
    <t>Marquis Teague</t>
  </si>
  <si>
    <t>Festus Ezeli</t>
  </si>
  <si>
    <t>Anthony Bennett</t>
  </si>
  <si>
    <t>UNLV</t>
  </si>
  <si>
    <t>Victor Oladipo</t>
  </si>
  <si>
    <t>Otto Porter Jr.</t>
  </si>
  <si>
    <t>Cody Zeller</t>
  </si>
  <si>
    <t>Alex Len</t>
  </si>
  <si>
    <t>Nerlens Noel</t>
  </si>
  <si>
    <t>Ben McLemore</t>
  </si>
  <si>
    <t>Kentavious Caldwell-Pope</t>
  </si>
  <si>
    <t>Georgia</t>
  </si>
  <si>
    <t>Trey Burke</t>
  </si>
  <si>
    <t>Michigan</t>
  </si>
  <si>
    <t>CJ McCollum</t>
  </si>
  <si>
    <t>Lehigh</t>
  </si>
  <si>
    <t>Michael Carter-Williams</t>
  </si>
  <si>
    <t>Steven Adams</t>
  </si>
  <si>
    <t>Pitt</t>
  </si>
  <si>
    <t>Kelly Olynyk</t>
  </si>
  <si>
    <t>Shabazz Muhammad</t>
  </si>
  <si>
    <t>Giannis Antetokounmpo</t>
  </si>
  <si>
    <t>Lucas Nogueira</t>
  </si>
  <si>
    <t>Dennis Schröder</t>
  </si>
  <si>
    <t>Shane Larkin</t>
  </si>
  <si>
    <t>Miami (FL)</t>
  </si>
  <si>
    <t>Sergey Karasev</t>
  </si>
  <si>
    <t>Tony Snell</t>
  </si>
  <si>
    <t>Gorgui Dieng</t>
  </si>
  <si>
    <t>Mason Plumlee</t>
  </si>
  <si>
    <t>Solomon Hill</t>
  </si>
  <si>
    <t>Tim Hardaway Jr.</t>
  </si>
  <si>
    <t>Reggie Bullock</t>
  </si>
  <si>
    <t>Andre Roberson</t>
  </si>
  <si>
    <t>Rudy Gobert</t>
  </si>
  <si>
    <t>Livio Jean-Charles</t>
  </si>
  <si>
    <t>Archie Goodwin</t>
  </si>
  <si>
    <t>Nemanja Nedović</t>
  </si>
  <si>
    <t>Andrew Wiggins</t>
  </si>
  <si>
    <t>Jabari Parker</t>
  </si>
  <si>
    <t>Joel Embiid</t>
  </si>
  <si>
    <t>Aaron Gordon</t>
  </si>
  <si>
    <t>Dante Exum</t>
  </si>
  <si>
    <t>Marcus Smart</t>
  </si>
  <si>
    <t>Julius Randle</t>
  </si>
  <si>
    <t>Nik Stauskas</t>
  </si>
  <si>
    <t>Noah Vonleh</t>
  </si>
  <si>
    <t>Elfrid Payton</t>
  </si>
  <si>
    <t>Louisiana</t>
  </si>
  <si>
    <t>Doug McDermott</t>
  </si>
  <si>
    <t>Creighton</t>
  </si>
  <si>
    <t>Dario Šarić</t>
  </si>
  <si>
    <t>Zach LaVine</t>
  </si>
  <si>
    <t>T.J. Warren</t>
  </si>
  <si>
    <t>Adreian Payne</t>
  </si>
  <si>
    <t>Jusuf Nurkić</t>
  </si>
  <si>
    <t>James Young</t>
  </si>
  <si>
    <t>Tyler Ennis</t>
  </si>
  <si>
    <t>Gary Harris</t>
  </si>
  <si>
    <t>Bruno Caboclo</t>
  </si>
  <si>
    <t>Mitch McGary</t>
  </si>
  <si>
    <t>Jordan Adams</t>
  </si>
  <si>
    <t>Rodney Hood</t>
  </si>
  <si>
    <t>Shabazz Napier</t>
  </si>
  <si>
    <t>Clint Capela</t>
  </si>
  <si>
    <t>P.J. Hairston</t>
  </si>
  <si>
    <t>Bogdan Bogdanović</t>
  </si>
  <si>
    <t>C.J. Wilcox</t>
  </si>
  <si>
    <t>Josh Huestis</t>
  </si>
  <si>
    <t>Kyle Anderson</t>
  </si>
  <si>
    <t>Karl-Anthony Towns</t>
  </si>
  <si>
    <t>D'Angelo Russell</t>
  </si>
  <si>
    <t>Jahlil Okafor</t>
  </si>
  <si>
    <t>Kristaps Porziņģis</t>
  </si>
  <si>
    <t>Mario Hezonja</t>
  </si>
  <si>
    <t>Willie Cauley-Stein</t>
  </si>
  <si>
    <t>Emmanuel Mudiay</t>
  </si>
  <si>
    <t>Stanley Johnson</t>
  </si>
  <si>
    <t>Frank Kaminsky</t>
  </si>
  <si>
    <t>Justise Winslow</t>
  </si>
  <si>
    <t>Myles Turner</t>
  </si>
  <si>
    <t>Trey Lyles</t>
  </si>
  <si>
    <t>Devin Booker</t>
  </si>
  <si>
    <t>Cameron Payne</t>
  </si>
  <si>
    <t>Murray State</t>
  </si>
  <si>
    <t>Kelly Oubre Jr.</t>
  </si>
  <si>
    <t>Terry Rozier</t>
  </si>
  <si>
    <t>Rashad Vaughn</t>
  </si>
  <si>
    <t>Sam Dekker</t>
  </si>
  <si>
    <t>Jerian Grant</t>
  </si>
  <si>
    <t>Notre Dame</t>
  </si>
  <si>
    <t>Delon Wright</t>
  </si>
  <si>
    <t>Justin Anderson</t>
  </si>
  <si>
    <t>Virginia</t>
  </si>
  <si>
    <t>Bobby Portis</t>
  </si>
  <si>
    <t>Rondae Hollis-Jefferson</t>
  </si>
  <si>
    <t>Tyus Jones</t>
  </si>
  <si>
    <t>Jarell Martin</t>
  </si>
  <si>
    <t>Nikola Milutinov</t>
  </si>
  <si>
    <t>Larry Nance Jr.</t>
  </si>
  <si>
    <t>Wyoming</t>
  </si>
  <si>
    <t>R.J. Hunter</t>
  </si>
  <si>
    <t>Georgia State University</t>
  </si>
  <si>
    <t>Chris McCullough</t>
  </si>
  <si>
    <t>Kevon Looney</t>
  </si>
  <si>
    <t>Ben Simmons</t>
  </si>
  <si>
    <t>Brandon Ingram</t>
  </si>
  <si>
    <t>Jaylen Brown</t>
  </si>
  <si>
    <t>Dragan Bender</t>
  </si>
  <si>
    <t>Kris Dunn</t>
  </si>
  <si>
    <t>Buddy Hield</t>
  </si>
  <si>
    <t>Jamal Murray</t>
  </si>
  <si>
    <t>Marquese Chriss</t>
  </si>
  <si>
    <t>Jakob Poeltl</t>
  </si>
  <si>
    <t>Thon Maker</t>
  </si>
  <si>
    <t>Domantas Sabonis</t>
  </si>
  <si>
    <t>Taurean Prince</t>
  </si>
  <si>
    <t>Georgios Papagiannis</t>
  </si>
  <si>
    <t>Denzel Valentine</t>
  </si>
  <si>
    <t>Juancho Hernangómez</t>
  </si>
  <si>
    <t>Guerschon Yabusele</t>
  </si>
  <si>
    <t>Wade Baldwin</t>
  </si>
  <si>
    <t>Henry Ellenson</t>
  </si>
  <si>
    <t>Malik Beasley</t>
  </si>
  <si>
    <t>Caris LeVert</t>
  </si>
  <si>
    <t>DeAndre' Bembry</t>
  </si>
  <si>
    <t>Saint Joseph's</t>
  </si>
  <si>
    <t>Malachi Richardson</t>
  </si>
  <si>
    <t>Ante Žižić</t>
  </si>
  <si>
    <t>Timothé Luwawu-Cabarrot</t>
  </si>
  <si>
    <t>Brice Johnson</t>
  </si>
  <si>
    <t>Furkan Korkmaz</t>
  </si>
  <si>
    <t>Pascal Siakam</t>
  </si>
  <si>
    <t>New Mexico State</t>
  </si>
  <si>
    <t>Skal Labissière</t>
  </si>
  <si>
    <t>Dejounte Murray</t>
  </si>
  <si>
    <t>Damian Jones</t>
  </si>
  <si>
    <r>
      <t>Dataset:</t>
    </r>
    <r>
      <rPr>
        <sz val="16"/>
        <color rgb="FF000000"/>
        <rFont val="Calibri"/>
        <scheme val="minor"/>
      </rPr>
      <t xml:space="preserve"> First-round NBA draft picks from 2005–2016. Career statistics reflect player performance through the conclusion of the 2021–22 NBA season. The study focuses on draft classes through 2016 so that each player had at least six NBA seasons to develop by the end of the observation period.</t>
    </r>
  </si>
  <si>
    <t>Average Win Shares</t>
  </si>
  <si>
    <t>Late First</t>
  </si>
  <si>
    <t>Lottery</t>
  </si>
  <si>
    <t>Mid First</t>
  </si>
  <si>
    <t>Top 5</t>
  </si>
  <si>
    <t>Grand Total</t>
  </si>
  <si>
    <t>Average Games</t>
  </si>
  <si>
    <t>Average BPM</t>
  </si>
  <si>
    <t>Count of Bust?</t>
  </si>
  <si>
    <t>No</t>
  </si>
  <si>
    <t>Yes</t>
  </si>
  <si>
    <t>Count of Player</t>
  </si>
  <si>
    <t>Minimal</t>
  </si>
  <si>
    <t>Rotation</t>
  </si>
  <si>
    <t>Star</t>
  </si>
  <si>
    <t>Starter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</si>
</sst>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name val="Calibri"/>
    </font>
    <font>
      <sz val="11"/>
      <color rgb="FF000000"/>
      <name val="Calibri"/>
      <scheme val="minor"/>
    </font>
    <font>
      <u/>
      <sz val="20"/>
      <color rgb="FF000000"/>
      <name val="Calibri"/>
      <scheme val="minor"/>
    </font>
    <font>
      <sz val="11"/>
      <color rgb="FF000000"/>
      <name val="Calibri"/>
    </font>
    <font>
      <sz val="11"/>
      <color rgb="FF000000"/>
      <name val="Calibri"/>
      <charset val="1"/>
    </font>
    <font>
      <sz val="14"/>
      <color rgb="FF000000"/>
      <name val="Calibri"/>
      <scheme val="minor"/>
    </font>
    <font>
      <b/>
      <u/>
      <sz val="24"/>
      <color rgb="FF000000"/>
      <name val="Calibri"/>
      <scheme val="minor"/>
    </font>
    <font>
      <b/>
      <sz val="20"/>
      <color rgb="FF000000"/>
      <name val="Calibri"/>
      <scheme val="minor"/>
    </font>
    <font>
      <b/>
      <sz val="16"/>
      <color rgb="FF000000"/>
      <name val="Calibri"/>
      <scheme val="minor"/>
    </font>
    <font>
      <sz val="16"/>
      <color rgb="FF000000"/>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2" fontId="0" fillId="0" borderId="0" xfId="0" applyNumberFormat="1"/>
    <xf numFmtId="0" fontId="0" fillId="0" borderId="0" xfId="0" pivotButton="1"/>
    <xf numFmtId="0" fontId="3" fillId="0" borderId="0" xfId="0" applyFont="1"/>
    <xf numFmtId="0" fontId="0" fillId="0" borderId="0" xfId="0" applyAlignment="1">
      <alignment horizontal="center" vertical="top"/>
    </xf>
    <xf numFmtId="2" fontId="1" fillId="0" borderId="0" xfId="0" applyNumberFormat="1" applyFont="1"/>
    <xf numFmtId="0" fontId="5" fillId="0" borderId="0" xfId="0" applyFont="1"/>
    <xf numFmtId="0" fontId="7" fillId="0" borderId="0" xfId="0" applyFont="1" applyAlignment="1">
      <alignment horizontal="left" vertical="center"/>
    </xf>
    <xf numFmtId="0" fontId="9" fillId="0" borderId="0" xfId="0" applyFont="1" applyAlignment="1">
      <alignment wrapText="1"/>
    </xf>
    <xf numFmtId="0" fontId="4" fillId="0" borderId="0" xfId="0" applyFont="1" applyAlignment="1">
      <alignment horizontal="center" vertical="top" wrapText="1"/>
    </xf>
    <xf numFmtId="0" fontId="2" fillId="0" borderId="0" xfId="0" applyFont="1" applyAlignment="1">
      <alignment horizontal="center" vertical="top" wrapText="1"/>
    </xf>
    <xf numFmtId="10" fontId="2" fillId="0" borderId="0" xfId="0" applyNumberFormat="1" applyFont="1" applyAlignment="1">
      <alignment horizontal="center" vertical="top" wrapText="1"/>
    </xf>
    <xf numFmtId="10" fontId="0" fillId="0" borderId="0" xfId="0" applyNumberFormat="1" applyAlignment="1">
      <alignment horizontal="center" vertical="top"/>
    </xf>
    <xf numFmtId="0" fontId="0" fillId="0" borderId="0" xfId="0" applyAlignment="1">
      <alignment horizontal="center" vertical="top"/>
    </xf>
    <xf numFmtId="10" fontId="0" fillId="0" borderId="0" xfId="0" applyNumberFormat="1" applyAlignment="1">
      <alignment horizontal="center" vertical="top" wrapText="1"/>
    </xf>
    <xf numFmtId="0" fontId="0" fillId="0" borderId="0" xfId="0" applyAlignment="1">
      <alignment horizontal="center" vertical="top" wrapText="1"/>
    </xf>
  </cellXfs>
  <cellStyles count="1">
    <cellStyle name="Normal" xfId="0" builtinId="0"/>
  </cellStyles>
  <dxfs count="14">
    <dxf>
      <numFmt numFmtId="2" formatCode="0.00"/>
    </dxf>
    <dxf>
      <numFmt numFmtId="2" formatCode="0.00"/>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[NBA_Draft_2005_2016_First_Round_Data.xlsx]Pivot Tables!PivotTable1</c:name>
    <c:fmtId val="14"/>
  </c:pivotSource>
  <c:chart>
    <c:title>
      <c:tx>
        <c:rich>
          <a:bodyPr rot="0" spcFirstLastPara="1" vertOverflow="ellipsis" vert="horz" wrap="square" anchor="ctr" anchorCtr="1"/>
          <a:lstStyle/>
          <a:p>
            <a:pPr>
              <a:defRPr sz="1600" b="0" i="0" u="none" strike="noStrike" kern="1200" spc="0" baseline="0">
                <a:solidFill>
                  <a:srgbClr val="000000"/>
                </a:solidFill>
                <a:latin typeface="+mn-lt"/>
                <a:ea typeface="+mn-ea"/>
                <a:cs typeface="+mn-cs"/>
              </a:defRPr>
            </a:pPr>
            <a:r>
              <a:rPr lang="en-US"/>
              <a:t>Average Career Win Shares by Draft Range</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BBB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BBB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BBB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BBB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BBB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c:f>
              <c:strCache>
                <c:ptCount val="1"/>
                <c:pt idx="0">
                  <c:v>Total</c:v>
                </c:pt>
              </c:strCache>
            </c:strRef>
          </c:tx>
          <c:spPr>
            <a:solidFill>
              <a:srgbClr val="9BBB59"/>
            </a:solidFill>
            <a:ln>
              <a:noFill/>
            </a:ln>
            <a:effectLst/>
          </c:spPr>
          <c:invertIfNegative val="0"/>
          <c:cat>
            <c:strRef>
              <c:f>'Pivot Tables'!$A$3:$A$7</c:f>
              <c:strCache>
                <c:ptCount val="4"/>
                <c:pt idx="0">
                  <c:v>Late First</c:v>
                </c:pt>
                <c:pt idx="1">
                  <c:v>Lottery</c:v>
                </c:pt>
                <c:pt idx="2">
                  <c:v>Mid First</c:v>
                </c:pt>
                <c:pt idx="3">
                  <c:v>Top 5</c:v>
                </c:pt>
              </c:strCache>
            </c:strRef>
          </c:cat>
          <c:val>
            <c:numRef>
              <c:f>'Pivot Tables'!$B$3:$B$7</c:f>
              <c:numCache>
                <c:formatCode>0.00</c:formatCode>
                <c:ptCount val="4"/>
                <c:pt idx="0">
                  <c:v>16.904273504273505</c:v>
                </c:pt>
                <c:pt idx="1">
                  <c:v>25.036448598130843</c:v>
                </c:pt>
                <c:pt idx="2">
                  <c:v>17.55972222222222</c:v>
                </c:pt>
                <c:pt idx="3">
                  <c:v>42.811666666666639</c:v>
                </c:pt>
              </c:numCache>
            </c:numRef>
          </c:val>
          <c:extLst>
            <c:ext xmlns:c16="http://schemas.microsoft.com/office/drawing/2014/chart" uri="{C3380CC4-5D6E-409C-BE32-E72D297353CC}">
              <c16:uniqueId val="{00000000-B8C0-4C35-A3B3-187A0833BB71}"/>
            </c:ext>
          </c:extLst>
        </c:ser>
        <c:dLbls>
          <c:showLegendKey val="0"/>
          <c:showVal val="0"/>
          <c:showCatName val="0"/>
          <c:showSerName val="0"/>
          <c:showPercent val="0"/>
          <c:showBubbleSize val="0"/>
        </c:dLbls>
        <c:gapWidth val="219"/>
        <c:overlap val="-27"/>
        <c:axId val="1245597191"/>
        <c:axId val="1245599239"/>
      </c:barChart>
      <c:catAx>
        <c:axId val="1245597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000000"/>
                </a:solidFill>
                <a:latin typeface="+mn-lt"/>
                <a:ea typeface="+mn-ea"/>
                <a:cs typeface="+mn-cs"/>
              </a:defRPr>
            </a:pPr>
            <a:endParaRPr lang="en-US"/>
          </a:p>
        </c:txPr>
        <c:crossAx val="1245599239"/>
        <c:crosses val="autoZero"/>
        <c:auto val="1"/>
        <c:lblAlgn val="ctr"/>
        <c:lblOffset val="100"/>
        <c:noMultiLvlLbl val="0"/>
      </c:catAx>
      <c:valAx>
        <c:axId val="1245599239"/>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000000"/>
                </a:solidFill>
                <a:latin typeface="+mn-lt"/>
                <a:ea typeface="+mn-ea"/>
                <a:cs typeface="+mn-cs"/>
              </a:defRPr>
            </a:pPr>
            <a:endParaRPr lang="en-US"/>
          </a:p>
        </c:txPr>
        <c:crossAx val="1245597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rgbClr val="000000"/>
                </a:solidFill>
                <a:latin typeface="+mn-lt"/>
                <a:ea typeface="+mn-ea"/>
                <a:cs typeface="+mn-cs"/>
              </a:defRPr>
            </a:pPr>
            <a:r>
              <a:rPr lang="en-US"/>
              <a:t>Draft Position vs Career Win Shares</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00000"/>
              </a:solidFill>
              <a:latin typeface="+mn-lt"/>
              <a:ea typeface="+mn-ea"/>
              <a:cs typeface="+mn-cs"/>
            </a:defRPr>
          </a:pPr>
          <a:endParaRPr lang="en-US"/>
        </a:p>
      </c:txPr>
    </c:title>
    <c:autoTitleDeleted val="0"/>
    <c:plotArea>
      <c:layout/>
      <c:scatterChart>
        <c:scatterStyle val="lineMarker"/>
        <c:varyColors val="0"/>
        <c:ser>
          <c:idx val="0"/>
          <c:order val="0"/>
          <c:tx>
            <c:strRef>
              <c:f>DraftData!$B$1</c:f>
              <c:strCache>
                <c:ptCount val="1"/>
                <c:pt idx="0">
                  <c:v>Pick</c:v>
                </c:pt>
              </c:strCache>
            </c:strRef>
          </c:tx>
          <c:spPr>
            <a:ln w="25400" cap="rnd">
              <a:noFill/>
              <a:round/>
            </a:ln>
            <a:effectLst/>
          </c:spPr>
          <c:marker>
            <c:symbol val="circle"/>
            <c:size val="5"/>
            <c:spPr>
              <a:solidFill>
                <a:srgbClr val="9BBB59"/>
              </a:solidFill>
              <a:ln w="9525">
                <a:solidFill>
                  <a:srgbClr val="4F81BD"/>
                </a:solidFill>
                <a:prstDash val="solid"/>
              </a:ln>
              <a:effectLst/>
            </c:spPr>
          </c:marker>
          <c:trendline>
            <c:spPr>
              <a:ln w="19050" cap="rnd">
                <a:solidFill>
                  <a:srgbClr val="4F81BD"/>
                </a:solidFill>
                <a:prstDash val="sysDot"/>
              </a:ln>
              <a:effectLst/>
            </c:spPr>
            <c:trendlineType val="linear"/>
            <c:dispRSqr val="1"/>
            <c:dispEq val="1"/>
            <c:trendlineLbl>
              <c:layout>
                <c:manualLayout>
                  <c:x val="0.11762117235345582"/>
                  <c:y val="0.4576144648585593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trendlineLbl>
          </c:trendline>
          <c:yVal>
            <c:numRef>
              <c:f>DraftData!$B$2:$B$361</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1</c:v>
                </c:pt>
                <c:pt idx="31">
                  <c:v>2</c:v>
                </c:pt>
                <c:pt idx="32">
                  <c:v>3</c:v>
                </c:pt>
                <c:pt idx="33">
                  <c:v>4</c:v>
                </c:pt>
                <c:pt idx="34">
                  <c:v>5</c:v>
                </c:pt>
                <c:pt idx="35">
                  <c:v>6</c:v>
                </c:pt>
                <c:pt idx="36">
                  <c:v>7</c:v>
                </c:pt>
                <c:pt idx="37">
                  <c:v>8</c:v>
                </c:pt>
                <c:pt idx="38">
                  <c:v>9</c:v>
                </c:pt>
                <c:pt idx="39">
                  <c:v>10</c:v>
                </c:pt>
                <c:pt idx="40">
                  <c:v>11</c:v>
                </c:pt>
                <c:pt idx="41">
                  <c:v>12</c:v>
                </c:pt>
                <c:pt idx="42">
                  <c:v>13</c:v>
                </c:pt>
                <c:pt idx="43">
                  <c:v>14</c:v>
                </c:pt>
                <c:pt idx="44">
                  <c:v>15</c:v>
                </c:pt>
                <c:pt idx="45">
                  <c:v>16</c:v>
                </c:pt>
                <c:pt idx="46">
                  <c:v>17</c:v>
                </c:pt>
                <c:pt idx="47">
                  <c:v>18</c:v>
                </c:pt>
                <c:pt idx="48">
                  <c:v>19</c:v>
                </c:pt>
                <c:pt idx="49">
                  <c:v>20</c:v>
                </c:pt>
                <c:pt idx="50">
                  <c:v>21</c:v>
                </c:pt>
                <c:pt idx="51">
                  <c:v>22</c:v>
                </c:pt>
                <c:pt idx="52">
                  <c:v>23</c:v>
                </c:pt>
                <c:pt idx="53">
                  <c:v>24</c:v>
                </c:pt>
                <c:pt idx="54">
                  <c:v>25</c:v>
                </c:pt>
                <c:pt idx="55">
                  <c:v>26</c:v>
                </c:pt>
                <c:pt idx="56">
                  <c:v>27</c:v>
                </c:pt>
                <c:pt idx="57">
                  <c:v>28</c:v>
                </c:pt>
                <c:pt idx="58">
                  <c:v>29</c:v>
                </c:pt>
                <c:pt idx="59">
                  <c:v>30</c:v>
                </c:pt>
                <c:pt idx="60">
                  <c:v>1</c:v>
                </c:pt>
                <c:pt idx="61">
                  <c:v>2</c:v>
                </c:pt>
                <c:pt idx="62">
                  <c:v>3</c:v>
                </c:pt>
                <c:pt idx="63">
                  <c:v>4</c:v>
                </c:pt>
                <c:pt idx="64">
                  <c:v>5</c:v>
                </c:pt>
                <c:pt idx="65">
                  <c:v>6</c:v>
                </c:pt>
                <c:pt idx="66">
                  <c:v>7</c:v>
                </c:pt>
                <c:pt idx="67">
                  <c:v>8</c:v>
                </c:pt>
                <c:pt idx="68">
                  <c:v>9</c:v>
                </c:pt>
                <c:pt idx="69">
                  <c:v>10</c:v>
                </c:pt>
                <c:pt idx="70">
                  <c:v>11</c:v>
                </c:pt>
                <c:pt idx="71">
                  <c:v>12</c:v>
                </c:pt>
                <c:pt idx="72">
                  <c:v>13</c:v>
                </c:pt>
                <c:pt idx="73">
                  <c:v>14</c:v>
                </c:pt>
                <c:pt idx="74">
                  <c:v>15</c:v>
                </c:pt>
                <c:pt idx="75">
                  <c:v>16</c:v>
                </c:pt>
                <c:pt idx="76">
                  <c:v>17</c:v>
                </c:pt>
                <c:pt idx="77">
                  <c:v>18</c:v>
                </c:pt>
                <c:pt idx="78">
                  <c:v>19</c:v>
                </c:pt>
                <c:pt idx="79">
                  <c:v>20</c:v>
                </c:pt>
                <c:pt idx="80">
                  <c:v>21</c:v>
                </c:pt>
                <c:pt idx="81">
                  <c:v>22</c:v>
                </c:pt>
                <c:pt idx="82">
                  <c:v>23</c:v>
                </c:pt>
                <c:pt idx="83">
                  <c:v>24</c:v>
                </c:pt>
                <c:pt idx="84">
                  <c:v>25</c:v>
                </c:pt>
                <c:pt idx="85">
                  <c:v>26</c:v>
                </c:pt>
                <c:pt idx="86">
                  <c:v>27</c:v>
                </c:pt>
                <c:pt idx="87">
                  <c:v>28</c:v>
                </c:pt>
                <c:pt idx="88">
                  <c:v>29</c:v>
                </c:pt>
                <c:pt idx="89">
                  <c:v>30</c:v>
                </c:pt>
                <c:pt idx="90">
                  <c:v>1</c:v>
                </c:pt>
                <c:pt idx="91">
                  <c:v>2</c:v>
                </c:pt>
                <c:pt idx="92">
                  <c:v>3</c:v>
                </c:pt>
                <c:pt idx="93">
                  <c:v>4</c:v>
                </c:pt>
                <c:pt idx="94">
                  <c:v>5</c:v>
                </c:pt>
                <c:pt idx="95">
                  <c:v>6</c:v>
                </c:pt>
                <c:pt idx="96">
                  <c:v>7</c:v>
                </c:pt>
                <c:pt idx="97">
                  <c:v>8</c:v>
                </c:pt>
                <c:pt idx="98">
                  <c:v>9</c:v>
                </c:pt>
                <c:pt idx="99">
                  <c:v>10</c:v>
                </c:pt>
                <c:pt idx="100">
                  <c:v>11</c:v>
                </c:pt>
                <c:pt idx="101">
                  <c:v>12</c:v>
                </c:pt>
                <c:pt idx="102">
                  <c:v>13</c:v>
                </c:pt>
                <c:pt idx="103">
                  <c:v>14</c:v>
                </c:pt>
                <c:pt idx="104">
                  <c:v>15</c:v>
                </c:pt>
                <c:pt idx="105">
                  <c:v>16</c:v>
                </c:pt>
                <c:pt idx="106">
                  <c:v>17</c:v>
                </c:pt>
                <c:pt idx="107">
                  <c:v>18</c:v>
                </c:pt>
                <c:pt idx="108">
                  <c:v>19</c:v>
                </c:pt>
                <c:pt idx="109">
                  <c:v>20</c:v>
                </c:pt>
                <c:pt idx="110">
                  <c:v>21</c:v>
                </c:pt>
                <c:pt idx="111">
                  <c:v>22</c:v>
                </c:pt>
                <c:pt idx="112">
                  <c:v>23</c:v>
                </c:pt>
                <c:pt idx="113">
                  <c:v>24</c:v>
                </c:pt>
                <c:pt idx="114">
                  <c:v>25</c:v>
                </c:pt>
                <c:pt idx="115">
                  <c:v>26</c:v>
                </c:pt>
                <c:pt idx="116">
                  <c:v>27</c:v>
                </c:pt>
                <c:pt idx="117">
                  <c:v>28</c:v>
                </c:pt>
                <c:pt idx="118">
                  <c:v>29</c:v>
                </c:pt>
                <c:pt idx="119">
                  <c:v>30</c:v>
                </c:pt>
                <c:pt idx="120">
                  <c:v>1</c:v>
                </c:pt>
                <c:pt idx="121">
                  <c:v>2</c:v>
                </c:pt>
                <c:pt idx="122">
                  <c:v>3</c:v>
                </c:pt>
                <c:pt idx="123">
                  <c:v>4</c:v>
                </c:pt>
                <c:pt idx="124">
                  <c:v>5</c:v>
                </c:pt>
                <c:pt idx="125">
                  <c:v>6</c:v>
                </c:pt>
                <c:pt idx="126">
                  <c:v>7</c:v>
                </c:pt>
                <c:pt idx="127">
                  <c:v>8</c:v>
                </c:pt>
                <c:pt idx="128">
                  <c:v>9</c:v>
                </c:pt>
                <c:pt idx="129">
                  <c:v>10</c:v>
                </c:pt>
                <c:pt idx="130">
                  <c:v>11</c:v>
                </c:pt>
                <c:pt idx="131">
                  <c:v>12</c:v>
                </c:pt>
                <c:pt idx="132">
                  <c:v>13</c:v>
                </c:pt>
                <c:pt idx="133">
                  <c:v>14</c:v>
                </c:pt>
                <c:pt idx="134">
                  <c:v>15</c:v>
                </c:pt>
                <c:pt idx="135">
                  <c:v>16</c:v>
                </c:pt>
                <c:pt idx="136">
                  <c:v>17</c:v>
                </c:pt>
                <c:pt idx="137">
                  <c:v>18</c:v>
                </c:pt>
                <c:pt idx="138">
                  <c:v>19</c:v>
                </c:pt>
                <c:pt idx="139">
                  <c:v>20</c:v>
                </c:pt>
                <c:pt idx="140">
                  <c:v>21</c:v>
                </c:pt>
                <c:pt idx="141">
                  <c:v>22</c:v>
                </c:pt>
                <c:pt idx="142">
                  <c:v>23</c:v>
                </c:pt>
                <c:pt idx="143">
                  <c:v>24</c:v>
                </c:pt>
                <c:pt idx="144">
                  <c:v>25</c:v>
                </c:pt>
                <c:pt idx="145">
                  <c:v>26</c:v>
                </c:pt>
                <c:pt idx="146">
                  <c:v>27</c:v>
                </c:pt>
                <c:pt idx="147">
                  <c:v>28</c:v>
                </c:pt>
                <c:pt idx="148">
                  <c:v>29</c:v>
                </c:pt>
                <c:pt idx="149">
                  <c:v>30</c:v>
                </c:pt>
                <c:pt idx="150">
                  <c:v>1</c:v>
                </c:pt>
                <c:pt idx="151">
                  <c:v>2</c:v>
                </c:pt>
                <c:pt idx="152">
                  <c:v>3</c:v>
                </c:pt>
                <c:pt idx="153">
                  <c:v>4</c:v>
                </c:pt>
                <c:pt idx="154">
                  <c:v>5</c:v>
                </c:pt>
                <c:pt idx="155">
                  <c:v>6</c:v>
                </c:pt>
                <c:pt idx="156">
                  <c:v>7</c:v>
                </c:pt>
                <c:pt idx="157">
                  <c:v>8</c:v>
                </c:pt>
                <c:pt idx="158">
                  <c:v>9</c:v>
                </c:pt>
                <c:pt idx="159">
                  <c:v>10</c:v>
                </c:pt>
                <c:pt idx="160">
                  <c:v>11</c:v>
                </c:pt>
                <c:pt idx="161">
                  <c:v>12</c:v>
                </c:pt>
                <c:pt idx="162">
                  <c:v>13</c:v>
                </c:pt>
                <c:pt idx="163">
                  <c:v>14</c:v>
                </c:pt>
                <c:pt idx="164">
                  <c:v>15</c:v>
                </c:pt>
                <c:pt idx="165">
                  <c:v>16</c:v>
                </c:pt>
                <c:pt idx="166">
                  <c:v>17</c:v>
                </c:pt>
                <c:pt idx="167">
                  <c:v>18</c:v>
                </c:pt>
                <c:pt idx="168">
                  <c:v>19</c:v>
                </c:pt>
                <c:pt idx="169">
                  <c:v>20</c:v>
                </c:pt>
                <c:pt idx="170">
                  <c:v>21</c:v>
                </c:pt>
                <c:pt idx="171">
                  <c:v>22</c:v>
                </c:pt>
                <c:pt idx="172">
                  <c:v>23</c:v>
                </c:pt>
                <c:pt idx="173">
                  <c:v>24</c:v>
                </c:pt>
                <c:pt idx="174">
                  <c:v>25</c:v>
                </c:pt>
                <c:pt idx="175">
                  <c:v>26</c:v>
                </c:pt>
                <c:pt idx="176">
                  <c:v>27</c:v>
                </c:pt>
                <c:pt idx="177">
                  <c:v>28</c:v>
                </c:pt>
                <c:pt idx="178">
                  <c:v>29</c:v>
                </c:pt>
                <c:pt idx="179">
                  <c:v>30</c:v>
                </c:pt>
                <c:pt idx="180">
                  <c:v>1</c:v>
                </c:pt>
                <c:pt idx="181">
                  <c:v>2</c:v>
                </c:pt>
                <c:pt idx="182">
                  <c:v>3</c:v>
                </c:pt>
                <c:pt idx="183">
                  <c:v>4</c:v>
                </c:pt>
                <c:pt idx="184">
                  <c:v>5</c:v>
                </c:pt>
                <c:pt idx="185">
                  <c:v>6</c:v>
                </c:pt>
                <c:pt idx="186">
                  <c:v>7</c:v>
                </c:pt>
                <c:pt idx="187">
                  <c:v>8</c:v>
                </c:pt>
                <c:pt idx="188">
                  <c:v>9</c:v>
                </c:pt>
                <c:pt idx="189">
                  <c:v>10</c:v>
                </c:pt>
                <c:pt idx="190">
                  <c:v>11</c:v>
                </c:pt>
                <c:pt idx="191">
                  <c:v>12</c:v>
                </c:pt>
                <c:pt idx="192">
                  <c:v>13</c:v>
                </c:pt>
                <c:pt idx="193">
                  <c:v>14</c:v>
                </c:pt>
                <c:pt idx="194">
                  <c:v>15</c:v>
                </c:pt>
                <c:pt idx="195">
                  <c:v>16</c:v>
                </c:pt>
                <c:pt idx="196">
                  <c:v>17</c:v>
                </c:pt>
                <c:pt idx="197">
                  <c:v>18</c:v>
                </c:pt>
                <c:pt idx="198">
                  <c:v>19</c:v>
                </c:pt>
                <c:pt idx="199">
                  <c:v>20</c:v>
                </c:pt>
                <c:pt idx="200">
                  <c:v>21</c:v>
                </c:pt>
                <c:pt idx="201">
                  <c:v>22</c:v>
                </c:pt>
                <c:pt idx="202">
                  <c:v>23</c:v>
                </c:pt>
                <c:pt idx="203">
                  <c:v>24</c:v>
                </c:pt>
                <c:pt idx="204">
                  <c:v>25</c:v>
                </c:pt>
                <c:pt idx="205">
                  <c:v>26</c:v>
                </c:pt>
                <c:pt idx="206">
                  <c:v>27</c:v>
                </c:pt>
                <c:pt idx="207">
                  <c:v>28</c:v>
                </c:pt>
                <c:pt idx="208">
                  <c:v>29</c:v>
                </c:pt>
                <c:pt idx="209">
                  <c:v>30</c:v>
                </c:pt>
                <c:pt idx="210">
                  <c:v>1</c:v>
                </c:pt>
                <c:pt idx="211">
                  <c:v>2</c:v>
                </c:pt>
                <c:pt idx="212">
                  <c:v>3</c:v>
                </c:pt>
                <c:pt idx="213">
                  <c:v>4</c:v>
                </c:pt>
                <c:pt idx="214">
                  <c:v>5</c:v>
                </c:pt>
                <c:pt idx="215">
                  <c:v>6</c:v>
                </c:pt>
                <c:pt idx="216">
                  <c:v>7</c:v>
                </c:pt>
                <c:pt idx="217">
                  <c:v>8</c:v>
                </c:pt>
                <c:pt idx="218">
                  <c:v>9</c:v>
                </c:pt>
                <c:pt idx="219">
                  <c:v>10</c:v>
                </c:pt>
                <c:pt idx="220">
                  <c:v>11</c:v>
                </c:pt>
                <c:pt idx="221">
                  <c:v>12</c:v>
                </c:pt>
                <c:pt idx="222">
                  <c:v>13</c:v>
                </c:pt>
                <c:pt idx="223">
                  <c:v>14</c:v>
                </c:pt>
                <c:pt idx="224">
                  <c:v>15</c:v>
                </c:pt>
                <c:pt idx="225">
                  <c:v>16</c:v>
                </c:pt>
                <c:pt idx="226">
                  <c:v>17</c:v>
                </c:pt>
                <c:pt idx="227">
                  <c:v>18</c:v>
                </c:pt>
                <c:pt idx="228">
                  <c:v>19</c:v>
                </c:pt>
                <c:pt idx="229">
                  <c:v>20</c:v>
                </c:pt>
                <c:pt idx="230">
                  <c:v>21</c:v>
                </c:pt>
                <c:pt idx="231">
                  <c:v>22</c:v>
                </c:pt>
                <c:pt idx="232">
                  <c:v>23</c:v>
                </c:pt>
                <c:pt idx="233">
                  <c:v>24</c:v>
                </c:pt>
                <c:pt idx="234">
                  <c:v>25</c:v>
                </c:pt>
                <c:pt idx="235">
                  <c:v>26</c:v>
                </c:pt>
                <c:pt idx="236">
                  <c:v>27</c:v>
                </c:pt>
                <c:pt idx="237">
                  <c:v>28</c:v>
                </c:pt>
                <c:pt idx="238">
                  <c:v>29</c:v>
                </c:pt>
                <c:pt idx="239">
                  <c:v>30</c:v>
                </c:pt>
                <c:pt idx="240">
                  <c:v>1</c:v>
                </c:pt>
                <c:pt idx="241">
                  <c:v>2</c:v>
                </c:pt>
                <c:pt idx="242">
                  <c:v>3</c:v>
                </c:pt>
                <c:pt idx="243">
                  <c:v>4</c:v>
                </c:pt>
                <c:pt idx="244">
                  <c:v>5</c:v>
                </c:pt>
                <c:pt idx="245">
                  <c:v>6</c:v>
                </c:pt>
                <c:pt idx="246">
                  <c:v>7</c:v>
                </c:pt>
                <c:pt idx="247">
                  <c:v>8</c:v>
                </c:pt>
                <c:pt idx="248">
                  <c:v>9</c:v>
                </c:pt>
                <c:pt idx="249">
                  <c:v>10</c:v>
                </c:pt>
                <c:pt idx="250">
                  <c:v>11</c:v>
                </c:pt>
                <c:pt idx="251">
                  <c:v>12</c:v>
                </c:pt>
                <c:pt idx="252">
                  <c:v>13</c:v>
                </c:pt>
                <c:pt idx="253">
                  <c:v>14</c:v>
                </c:pt>
                <c:pt idx="254">
                  <c:v>15</c:v>
                </c:pt>
                <c:pt idx="255">
                  <c:v>16</c:v>
                </c:pt>
                <c:pt idx="256">
                  <c:v>17</c:v>
                </c:pt>
                <c:pt idx="257">
                  <c:v>18</c:v>
                </c:pt>
                <c:pt idx="258">
                  <c:v>19</c:v>
                </c:pt>
                <c:pt idx="259">
                  <c:v>20</c:v>
                </c:pt>
                <c:pt idx="260">
                  <c:v>21</c:v>
                </c:pt>
                <c:pt idx="261">
                  <c:v>22</c:v>
                </c:pt>
                <c:pt idx="262">
                  <c:v>23</c:v>
                </c:pt>
                <c:pt idx="263">
                  <c:v>24</c:v>
                </c:pt>
                <c:pt idx="264">
                  <c:v>25</c:v>
                </c:pt>
                <c:pt idx="265">
                  <c:v>26</c:v>
                </c:pt>
                <c:pt idx="266">
                  <c:v>27</c:v>
                </c:pt>
                <c:pt idx="267">
                  <c:v>28</c:v>
                </c:pt>
                <c:pt idx="268">
                  <c:v>29</c:v>
                </c:pt>
                <c:pt idx="269">
                  <c:v>30</c:v>
                </c:pt>
                <c:pt idx="270">
                  <c:v>1</c:v>
                </c:pt>
                <c:pt idx="271">
                  <c:v>2</c:v>
                </c:pt>
                <c:pt idx="272">
                  <c:v>3</c:v>
                </c:pt>
                <c:pt idx="273">
                  <c:v>4</c:v>
                </c:pt>
                <c:pt idx="274">
                  <c:v>5</c:v>
                </c:pt>
                <c:pt idx="275">
                  <c:v>6</c:v>
                </c:pt>
                <c:pt idx="276">
                  <c:v>7</c:v>
                </c:pt>
                <c:pt idx="277">
                  <c:v>8</c:v>
                </c:pt>
                <c:pt idx="278">
                  <c:v>9</c:v>
                </c:pt>
                <c:pt idx="279">
                  <c:v>10</c:v>
                </c:pt>
                <c:pt idx="280">
                  <c:v>11</c:v>
                </c:pt>
                <c:pt idx="281">
                  <c:v>12</c:v>
                </c:pt>
                <c:pt idx="282">
                  <c:v>13</c:v>
                </c:pt>
                <c:pt idx="283">
                  <c:v>14</c:v>
                </c:pt>
                <c:pt idx="284">
                  <c:v>15</c:v>
                </c:pt>
                <c:pt idx="285">
                  <c:v>16</c:v>
                </c:pt>
                <c:pt idx="286">
                  <c:v>17</c:v>
                </c:pt>
                <c:pt idx="287">
                  <c:v>18</c:v>
                </c:pt>
                <c:pt idx="288">
                  <c:v>19</c:v>
                </c:pt>
                <c:pt idx="289">
                  <c:v>20</c:v>
                </c:pt>
                <c:pt idx="290">
                  <c:v>21</c:v>
                </c:pt>
                <c:pt idx="291">
                  <c:v>22</c:v>
                </c:pt>
                <c:pt idx="292">
                  <c:v>23</c:v>
                </c:pt>
                <c:pt idx="293">
                  <c:v>24</c:v>
                </c:pt>
                <c:pt idx="294">
                  <c:v>25</c:v>
                </c:pt>
                <c:pt idx="295">
                  <c:v>26</c:v>
                </c:pt>
                <c:pt idx="296">
                  <c:v>27</c:v>
                </c:pt>
                <c:pt idx="297">
                  <c:v>28</c:v>
                </c:pt>
                <c:pt idx="298">
                  <c:v>29</c:v>
                </c:pt>
                <c:pt idx="299">
                  <c:v>30</c:v>
                </c:pt>
                <c:pt idx="300">
                  <c:v>1</c:v>
                </c:pt>
                <c:pt idx="301">
                  <c:v>2</c:v>
                </c:pt>
                <c:pt idx="302">
                  <c:v>3</c:v>
                </c:pt>
                <c:pt idx="303">
                  <c:v>4</c:v>
                </c:pt>
                <c:pt idx="304">
                  <c:v>5</c:v>
                </c:pt>
                <c:pt idx="305">
                  <c:v>6</c:v>
                </c:pt>
                <c:pt idx="306">
                  <c:v>7</c:v>
                </c:pt>
                <c:pt idx="307">
                  <c:v>8</c:v>
                </c:pt>
                <c:pt idx="308">
                  <c:v>9</c:v>
                </c:pt>
                <c:pt idx="309">
                  <c:v>10</c:v>
                </c:pt>
                <c:pt idx="310">
                  <c:v>11</c:v>
                </c:pt>
                <c:pt idx="311">
                  <c:v>12</c:v>
                </c:pt>
                <c:pt idx="312">
                  <c:v>13</c:v>
                </c:pt>
                <c:pt idx="313">
                  <c:v>14</c:v>
                </c:pt>
                <c:pt idx="314">
                  <c:v>15</c:v>
                </c:pt>
                <c:pt idx="315">
                  <c:v>16</c:v>
                </c:pt>
                <c:pt idx="316">
                  <c:v>17</c:v>
                </c:pt>
                <c:pt idx="317">
                  <c:v>18</c:v>
                </c:pt>
                <c:pt idx="318">
                  <c:v>19</c:v>
                </c:pt>
                <c:pt idx="319">
                  <c:v>20</c:v>
                </c:pt>
                <c:pt idx="320">
                  <c:v>21</c:v>
                </c:pt>
                <c:pt idx="321">
                  <c:v>22</c:v>
                </c:pt>
                <c:pt idx="322">
                  <c:v>23</c:v>
                </c:pt>
                <c:pt idx="323">
                  <c:v>24</c:v>
                </c:pt>
                <c:pt idx="324">
                  <c:v>25</c:v>
                </c:pt>
                <c:pt idx="325">
                  <c:v>26</c:v>
                </c:pt>
                <c:pt idx="326">
                  <c:v>27</c:v>
                </c:pt>
                <c:pt idx="327">
                  <c:v>28</c:v>
                </c:pt>
                <c:pt idx="328">
                  <c:v>29</c:v>
                </c:pt>
                <c:pt idx="329">
                  <c:v>30</c:v>
                </c:pt>
                <c:pt idx="330">
                  <c:v>1</c:v>
                </c:pt>
                <c:pt idx="331">
                  <c:v>2</c:v>
                </c:pt>
                <c:pt idx="332">
                  <c:v>3</c:v>
                </c:pt>
                <c:pt idx="333">
                  <c:v>4</c:v>
                </c:pt>
                <c:pt idx="334">
                  <c:v>5</c:v>
                </c:pt>
                <c:pt idx="335">
                  <c:v>6</c:v>
                </c:pt>
                <c:pt idx="336">
                  <c:v>7</c:v>
                </c:pt>
                <c:pt idx="337">
                  <c:v>8</c:v>
                </c:pt>
                <c:pt idx="338">
                  <c:v>9</c:v>
                </c:pt>
                <c:pt idx="339">
                  <c:v>10</c:v>
                </c:pt>
                <c:pt idx="340">
                  <c:v>11</c:v>
                </c:pt>
                <c:pt idx="341">
                  <c:v>12</c:v>
                </c:pt>
                <c:pt idx="342">
                  <c:v>13</c:v>
                </c:pt>
                <c:pt idx="343">
                  <c:v>14</c:v>
                </c:pt>
                <c:pt idx="344">
                  <c:v>15</c:v>
                </c:pt>
                <c:pt idx="345">
                  <c:v>16</c:v>
                </c:pt>
                <c:pt idx="346">
                  <c:v>17</c:v>
                </c:pt>
                <c:pt idx="347">
                  <c:v>18</c:v>
                </c:pt>
                <c:pt idx="348">
                  <c:v>19</c:v>
                </c:pt>
                <c:pt idx="349">
                  <c:v>20</c:v>
                </c:pt>
                <c:pt idx="350">
                  <c:v>21</c:v>
                </c:pt>
                <c:pt idx="351">
                  <c:v>22</c:v>
                </c:pt>
                <c:pt idx="352">
                  <c:v>23</c:v>
                </c:pt>
                <c:pt idx="353">
                  <c:v>24</c:v>
                </c:pt>
                <c:pt idx="354">
                  <c:v>25</c:v>
                </c:pt>
                <c:pt idx="355">
                  <c:v>26</c:v>
                </c:pt>
                <c:pt idx="356">
                  <c:v>27</c:v>
                </c:pt>
                <c:pt idx="357">
                  <c:v>28</c:v>
                </c:pt>
                <c:pt idx="358">
                  <c:v>29</c:v>
                </c:pt>
                <c:pt idx="359">
                  <c:v>30</c:v>
                </c:pt>
              </c:numCache>
            </c:numRef>
          </c:yVal>
          <c:smooth val="0"/>
          <c:extLst>
            <c:ext xmlns:c16="http://schemas.microsoft.com/office/drawing/2014/chart" uri="{C3380CC4-5D6E-409C-BE32-E72D297353CC}">
              <c16:uniqueId val="{00000001-7FEC-48AB-8AC5-7EE2D11060BB}"/>
            </c:ext>
          </c:extLst>
        </c:ser>
        <c:dLbls>
          <c:showLegendKey val="0"/>
          <c:showVal val="0"/>
          <c:showCatName val="0"/>
          <c:showSerName val="0"/>
          <c:showPercent val="0"/>
          <c:showBubbleSize val="0"/>
        </c:dLbls>
        <c:axId val="1545383431"/>
        <c:axId val="1545372679"/>
      </c:scatterChart>
      <c:valAx>
        <c:axId val="154538343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rgbClr val="000000"/>
                </a:solidFill>
                <a:latin typeface="+mn-lt"/>
                <a:ea typeface="+mn-ea"/>
                <a:cs typeface="+mn-cs"/>
              </a:defRPr>
            </a:pPr>
            <a:endParaRPr lang="en-US"/>
          </a:p>
        </c:txPr>
        <c:crossAx val="1545372679"/>
        <c:crosses val="autoZero"/>
        <c:crossBetween val="midCat"/>
      </c:valAx>
      <c:valAx>
        <c:axId val="1545372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rgbClr val="000000"/>
                </a:solidFill>
                <a:latin typeface="+mn-lt"/>
                <a:ea typeface="+mn-ea"/>
                <a:cs typeface="+mn-cs"/>
              </a:defRPr>
            </a:pPr>
            <a:endParaRPr lang="en-US"/>
          </a:p>
        </c:txPr>
        <c:crossAx val="15453834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[NBA_Draft_2005_2016_First_Round_Data.xlsx]Pivot Tables!PivotTable5</c:name>
    <c:fmtId val="8"/>
  </c:pivotSource>
  <c:chart>
    <c:title>
      <c:tx>
        <c:rich>
          <a:bodyPr rot="0" spcFirstLastPara="1" vertOverflow="ellipsis" vert="horz" wrap="square" anchor="ctr" anchorCtr="1"/>
          <a:lstStyle/>
          <a:p>
            <a:pPr>
              <a:defRPr sz="1600" b="0" i="0" u="none" strike="noStrike" kern="1200" spc="0" baseline="0">
                <a:solidFill>
                  <a:srgbClr val="000000"/>
                </a:solidFill>
                <a:latin typeface="+mn-lt"/>
                <a:ea typeface="+mn-ea"/>
                <a:cs typeface="+mn-cs"/>
              </a:defRPr>
            </a:pPr>
            <a:r>
              <a:rPr lang="en-US"/>
              <a:t>Distribution of Career Outcomes</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s>
    <c:plotArea>
      <c:layout/>
      <c:pieChart>
        <c:varyColors val="1"/>
        <c:ser>
          <c:idx val="0"/>
          <c:order val="0"/>
          <c:tx>
            <c:strRef>
              <c:f>'Pivot Tables'!$B$31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14-49C7-85D9-4506784FAD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14-49C7-85D9-4506784FAD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14-49C7-85D9-4506784FAD0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214-49C7-85D9-4506784FAD01}"/>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Tables'!$A$32:$A$36</c:f>
              <c:strCache>
                <c:ptCount val="4"/>
                <c:pt idx="0">
                  <c:v>Minimal</c:v>
                </c:pt>
                <c:pt idx="1">
                  <c:v>Rotation</c:v>
                </c:pt>
                <c:pt idx="2">
                  <c:v>Star</c:v>
                </c:pt>
                <c:pt idx="3">
                  <c:v>Starter</c:v>
                </c:pt>
              </c:strCache>
            </c:strRef>
          </c:cat>
          <c:val>
            <c:numRef>
              <c:f>'Pivot Tables'!$B$32:$B$36</c:f>
              <c:numCache>
                <c:formatCode>General</c:formatCode>
                <c:ptCount val="4"/>
                <c:pt idx="0">
                  <c:v>147</c:v>
                </c:pt>
                <c:pt idx="1">
                  <c:v>116</c:v>
                </c:pt>
                <c:pt idx="2">
                  <c:v>17</c:v>
                </c:pt>
                <c:pt idx="3">
                  <c:v>80</c:v>
                </c:pt>
              </c:numCache>
            </c:numRef>
          </c:val>
          <c:extLst>
            <c:ext xmlns:c16="http://schemas.microsoft.com/office/drawing/2014/chart" uri="{C3380CC4-5D6E-409C-BE32-E72D297353CC}">
              <c16:uniqueId val="{00000008-B214-49C7-85D9-4506784FAD0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rgbClr val="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[NBA_Draft_2005_2016_First_Round_Data.xlsx]Pivot Tables!PivotTable3</c:name>
    <c:fmtId val="8"/>
  </c:pivotSource>
  <c:chart>
    <c:title>
      <c:tx>
        <c:rich>
          <a:bodyPr rot="0" spcFirstLastPara="1" vertOverflow="ellipsis" vert="horz" wrap="square" anchor="ctr" anchorCtr="1"/>
          <a:lstStyle/>
          <a:p>
            <a:pPr>
              <a:defRPr sz="1600" b="0" i="0" u="none" strike="noStrike" kern="1200" spc="0" baseline="0">
                <a:solidFill>
                  <a:srgbClr val="000000"/>
                </a:solidFill>
                <a:latin typeface="+mn-lt"/>
                <a:ea typeface="+mn-ea"/>
                <a:cs typeface="+mn-cs"/>
              </a:defRPr>
            </a:pPr>
            <a:r>
              <a:rPr lang="en-US"/>
              <a:t>Average BPM by Draft Range</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BBB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BBB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BBB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BBB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BBB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Tables'!$B$16</c:f>
              <c:strCache>
                <c:ptCount val="1"/>
                <c:pt idx="0">
                  <c:v>Total</c:v>
                </c:pt>
              </c:strCache>
            </c:strRef>
          </c:tx>
          <c:spPr>
            <a:solidFill>
              <a:srgbClr val="9BBB59"/>
            </a:solidFill>
            <a:ln>
              <a:noFill/>
            </a:ln>
            <a:effectLst/>
          </c:spPr>
          <c:invertIfNegative val="0"/>
          <c:cat>
            <c:strRef>
              <c:f>'Pivot Tables'!$A$17:$A$21</c:f>
              <c:strCache>
                <c:ptCount val="4"/>
                <c:pt idx="0">
                  <c:v>Late First</c:v>
                </c:pt>
                <c:pt idx="1">
                  <c:v>Lottery</c:v>
                </c:pt>
                <c:pt idx="2">
                  <c:v>Mid First</c:v>
                </c:pt>
                <c:pt idx="3">
                  <c:v>Top 5</c:v>
                </c:pt>
              </c:strCache>
            </c:strRef>
          </c:cat>
          <c:val>
            <c:numRef>
              <c:f>'Pivot Tables'!$B$17:$B$21</c:f>
              <c:numCache>
                <c:formatCode>0.00</c:formatCode>
                <c:ptCount val="4"/>
                <c:pt idx="0">
                  <c:v>-1.7504273504273502</c:v>
                </c:pt>
                <c:pt idx="1">
                  <c:v>-0.82149532710280337</c:v>
                </c:pt>
                <c:pt idx="2">
                  <c:v>-1.7222222222222228</c:v>
                </c:pt>
                <c:pt idx="3">
                  <c:v>0.43666666666666681</c:v>
                </c:pt>
              </c:numCache>
            </c:numRef>
          </c:val>
          <c:extLst>
            <c:ext xmlns:c16="http://schemas.microsoft.com/office/drawing/2014/chart" uri="{C3380CC4-5D6E-409C-BE32-E72D297353CC}">
              <c16:uniqueId val="{00000000-621A-4B30-8A48-BB4FEC1D2C33}"/>
            </c:ext>
          </c:extLst>
        </c:ser>
        <c:dLbls>
          <c:showLegendKey val="0"/>
          <c:showVal val="0"/>
          <c:showCatName val="0"/>
          <c:showSerName val="0"/>
          <c:showPercent val="0"/>
          <c:showBubbleSize val="0"/>
        </c:dLbls>
        <c:gapWidth val="219"/>
        <c:overlap val="-27"/>
        <c:axId val="240466440"/>
        <c:axId val="242338312"/>
      </c:barChart>
      <c:catAx>
        <c:axId val="24046644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000000"/>
                </a:solidFill>
                <a:latin typeface="+mn-lt"/>
                <a:ea typeface="+mn-ea"/>
                <a:cs typeface="+mn-cs"/>
              </a:defRPr>
            </a:pPr>
            <a:endParaRPr lang="en-US"/>
          </a:p>
        </c:txPr>
        <c:crossAx val="242338312"/>
        <c:crosses val="autoZero"/>
        <c:auto val="1"/>
        <c:lblAlgn val="ctr"/>
        <c:lblOffset val="100"/>
        <c:noMultiLvlLbl val="0"/>
      </c:catAx>
      <c:valAx>
        <c:axId val="24233831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000000"/>
                </a:solidFill>
                <a:latin typeface="+mn-lt"/>
                <a:ea typeface="+mn-ea"/>
                <a:cs typeface="+mn-cs"/>
              </a:defRPr>
            </a:pPr>
            <a:endParaRPr lang="en-US"/>
          </a:p>
        </c:txPr>
        <c:crossAx val="2404664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[NBA_Draft_2005_2016_First_Round_Data.xlsx]Pivot Tables!PivotTable2</c:name>
    <c:fmtId val="8"/>
  </c:pivotSource>
  <c:chart>
    <c:title>
      <c:tx>
        <c:rich>
          <a:bodyPr rot="0" spcFirstLastPara="1" vertOverflow="ellipsis" vert="horz" wrap="square" anchor="ctr" anchorCtr="1"/>
          <a:lstStyle/>
          <a:p>
            <a:pPr>
              <a:defRPr sz="1600" b="0" i="0" u="none" strike="noStrike" kern="1200" spc="0" baseline="0">
                <a:solidFill>
                  <a:srgbClr val="000000"/>
                </a:solidFill>
                <a:latin typeface="+mn-lt"/>
                <a:ea typeface="+mn-ea"/>
                <a:cs typeface="+mn-cs"/>
              </a:defRPr>
            </a:pPr>
            <a:r>
              <a:rPr lang="en-US"/>
              <a:t>Average Games Played by Draft Range</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BBB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BBB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BBB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BBB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BBB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c:f>
              <c:strCache>
                <c:ptCount val="1"/>
                <c:pt idx="0">
                  <c:v>Total</c:v>
                </c:pt>
              </c:strCache>
            </c:strRef>
          </c:tx>
          <c:spPr>
            <a:solidFill>
              <a:srgbClr val="9BBB59"/>
            </a:solidFill>
            <a:ln>
              <a:noFill/>
            </a:ln>
            <a:effectLst/>
          </c:spPr>
          <c:invertIfNegative val="0"/>
          <c:cat>
            <c:strRef>
              <c:f>'Pivot Tables'!$A$10:$A$14</c:f>
              <c:strCache>
                <c:ptCount val="4"/>
                <c:pt idx="0">
                  <c:v>Late First</c:v>
                </c:pt>
                <c:pt idx="1">
                  <c:v>Lottery</c:v>
                </c:pt>
                <c:pt idx="2">
                  <c:v>Mid First</c:v>
                </c:pt>
                <c:pt idx="3">
                  <c:v>Top 5</c:v>
                </c:pt>
              </c:strCache>
            </c:strRef>
          </c:cat>
          <c:val>
            <c:numRef>
              <c:f>'Pivot Tables'!$B$10:$B$14</c:f>
              <c:numCache>
                <c:formatCode>0.00</c:formatCode>
                <c:ptCount val="4"/>
                <c:pt idx="0">
                  <c:v>353.17094017094018</c:v>
                </c:pt>
                <c:pt idx="1">
                  <c:v>485.15887850467288</c:v>
                </c:pt>
                <c:pt idx="2">
                  <c:v>397.31944444444446</c:v>
                </c:pt>
                <c:pt idx="3">
                  <c:v>569.36666666666667</c:v>
                </c:pt>
              </c:numCache>
            </c:numRef>
          </c:val>
          <c:extLst>
            <c:ext xmlns:c16="http://schemas.microsoft.com/office/drawing/2014/chart" uri="{C3380CC4-5D6E-409C-BE32-E72D297353CC}">
              <c16:uniqueId val="{00000000-0E53-4F25-88EF-07150F49B026}"/>
            </c:ext>
          </c:extLst>
        </c:ser>
        <c:dLbls>
          <c:showLegendKey val="0"/>
          <c:showVal val="0"/>
          <c:showCatName val="0"/>
          <c:showSerName val="0"/>
          <c:showPercent val="0"/>
          <c:showBubbleSize val="0"/>
        </c:dLbls>
        <c:gapWidth val="219"/>
        <c:overlap val="-27"/>
        <c:axId val="961116680"/>
        <c:axId val="1253798407"/>
      </c:barChart>
      <c:catAx>
        <c:axId val="961116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000000"/>
                </a:solidFill>
                <a:latin typeface="+mn-lt"/>
                <a:ea typeface="+mn-ea"/>
                <a:cs typeface="+mn-cs"/>
              </a:defRPr>
            </a:pPr>
            <a:endParaRPr lang="en-US"/>
          </a:p>
        </c:txPr>
        <c:crossAx val="1253798407"/>
        <c:crosses val="autoZero"/>
        <c:auto val="1"/>
        <c:lblAlgn val="ctr"/>
        <c:lblOffset val="100"/>
        <c:noMultiLvlLbl val="0"/>
      </c:catAx>
      <c:valAx>
        <c:axId val="1253798407"/>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000000"/>
                </a:solidFill>
                <a:latin typeface="+mn-lt"/>
                <a:ea typeface="+mn-ea"/>
                <a:cs typeface="+mn-cs"/>
              </a:defRPr>
            </a:pPr>
            <a:endParaRPr lang="en-US"/>
          </a:p>
        </c:txPr>
        <c:crossAx val="961116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[NBA_Draft_2005_2016_First_Round_Data.xlsx]Pivot Tables!PivotTable1</c:name>
    <c:fmtId val="8"/>
  </c:pivotSource>
  <c:chart>
    <c:title>
      <c:tx>
        <c:rich>
          <a:bodyPr rot="0" spcFirstLastPara="1" vertOverflow="ellipsis" vert="horz" wrap="square" anchor="ctr" anchorCtr="1"/>
          <a:lstStyle/>
          <a:p>
            <a:pPr>
              <a:defRPr sz="1600" b="0" i="0" u="none" strike="noStrike" kern="1200" spc="0" baseline="0">
                <a:solidFill>
                  <a:srgbClr val="000000"/>
                </a:solidFill>
                <a:latin typeface="+mn-lt"/>
                <a:ea typeface="+mn-ea"/>
                <a:cs typeface="+mn-cs"/>
              </a:defRPr>
            </a:pPr>
            <a:r>
              <a:rPr lang="en-US"/>
              <a:t>Average Career Win Shares by Draft Range</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BBB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c:f>
              <c:strCache>
                <c:ptCount val="1"/>
                <c:pt idx="0">
                  <c:v>Total</c:v>
                </c:pt>
              </c:strCache>
            </c:strRef>
          </c:tx>
          <c:spPr>
            <a:solidFill>
              <a:srgbClr val="9BBB59"/>
            </a:solidFill>
            <a:ln>
              <a:noFill/>
            </a:ln>
            <a:effectLst/>
          </c:spPr>
          <c:invertIfNegative val="0"/>
          <c:cat>
            <c:strRef>
              <c:f>'Pivot Tables'!$A$3:$A$7</c:f>
              <c:strCache>
                <c:ptCount val="4"/>
                <c:pt idx="0">
                  <c:v>Late First</c:v>
                </c:pt>
                <c:pt idx="1">
                  <c:v>Lottery</c:v>
                </c:pt>
                <c:pt idx="2">
                  <c:v>Mid First</c:v>
                </c:pt>
                <c:pt idx="3">
                  <c:v>Top 5</c:v>
                </c:pt>
              </c:strCache>
            </c:strRef>
          </c:cat>
          <c:val>
            <c:numRef>
              <c:f>'Pivot Tables'!$B$3:$B$7</c:f>
              <c:numCache>
                <c:formatCode>0.00</c:formatCode>
                <c:ptCount val="4"/>
                <c:pt idx="0">
                  <c:v>16.904273504273505</c:v>
                </c:pt>
                <c:pt idx="1">
                  <c:v>25.036448598130843</c:v>
                </c:pt>
                <c:pt idx="2">
                  <c:v>17.55972222222222</c:v>
                </c:pt>
                <c:pt idx="3">
                  <c:v>42.811666666666639</c:v>
                </c:pt>
              </c:numCache>
            </c:numRef>
          </c:val>
          <c:extLst>
            <c:ext xmlns:c16="http://schemas.microsoft.com/office/drawing/2014/chart" uri="{C3380CC4-5D6E-409C-BE32-E72D297353CC}">
              <c16:uniqueId val="{00000000-D152-4585-8A3A-A415AA196C00}"/>
            </c:ext>
          </c:extLst>
        </c:ser>
        <c:dLbls>
          <c:showLegendKey val="0"/>
          <c:showVal val="0"/>
          <c:showCatName val="0"/>
          <c:showSerName val="0"/>
          <c:showPercent val="0"/>
          <c:showBubbleSize val="0"/>
        </c:dLbls>
        <c:gapWidth val="219"/>
        <c:overlap val="-27"/>
        <c:axId val="1245597191"/>
        <c:axId val="1245599239"/>
      </c:barChart>
      <c:catAx>
        <c:axId val="1245597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000000"/>
                </a:solidFill>
                <a:latin typeface="+mn-lt"/>
                <a:ea typeface="+mn-ea"/>
                <a:cs typeface="+mn-cs"/>
              </a:defRPr>
            </a:pPr>
            <a:endParaRPr lang="en-US"/>
          </a:p>
        </c:txPr>
        <c:crossAx val="1245599239"/>
        <c:crosses val="autoZero"/>
        <c:auto val="1"/>
        <c:lblAlgn val="ctr"/>
        <c:lblOffset val="100"/>
        <c:noMultiLvlLbl val="0"/>
      </c:catAx>
      <c:valAx>
        <c:axId val="1245599239"/>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000000"/>
                </a:solidFill>
                <a:latin typeface="+mn-lt"/>
                <a:ea typeface="+mn-ea"/>
                <a:cs typeface="+mn-cs"/>
              </a:defRPr>
            </a:pPr>
            <a:endParaRPr lang="en-US"/>
          </a:p>
        </c:txPr>
        <c:crossAx val="1245597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[NBA_Draft_2005_2016_First_Round_Data.xlsx]Pivot Tables!PivotTable2</c:name>
    <c:fmtId val="4"/>
  </c:pivotSource>
  <c:chart>
    <c:title>
      <c:tx>
        <c:rich>
          <a:bodyPr rot="0" spcFirstLastPara="1" vertOverflow="ellipsis" vert="horz" wrap="square" anchor="ctr" anchorCtr="1"/>
          <a:lstStyle/>
          <a:p>
            <a:pPr>
              <a:defRPr sz="1600" b="0" i="0" u="none" strike="noStrike" kern="1200" spc="0" baseline="0">
                <a:solidFill>
                  <a:srgbClr val="000000"/>
                </a:solidFill>
                <a:latin typeface="+mn-lt"/>
                <a:ea typeface="+mn-ea"/>
                <a:cs typeface="+mn-cs"/>
              </a:defRPr>
            </a:pPr>
            <a:r>
              <a:rPr lang="en-US"/>
              <a:t>Average Games Played by Draft Range</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BBB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c:f>
              <c:strCache>
                <c:ptCount val="1"/>
                <c:pt idx="0">
                  <c:v>Total</c:v>
                </c:pt>
              </c:strCache>
            </c:strRef>
          </c:tx>
          <c:spPr>
            <a:solidFill>
              <a:srgbClr val="9BBB59"/>
            </a:solidFill>
            <a:ln>
              <a:noFill/>
            </a:ln>
            <a:effectLst/>
          </c:spPr>
          <c:invertIfNegative val="0"/>
          <c:cat>
            <c:strRef>
              <c:f>'Pivot Tables'!$A$10:$A$14</c:f>
              <c:strCache>
                <c:ptCount val="4"/>
                <c:pt idx="0">
                  <c:v>Late First</c:v>
                </c:pt>
                <c:pt idx="1">
                  <c:v>Lottery</c:v>
                </c:pt>
                <c:pt idx="2">
                  <c:v>Mid First</c:v>
                </c:pt>
                <c:pt idx="3">
                  <c:v>Top 5</c:v>
                </c:pt>
              </c:strCache>
            </c:strRef>
          </c:cat>
          <c:val>
            <c:numRef>
              <c:f>'Pivot Tables'!$B$10:$B$14</c:f>
              <c:numCache>
                <c:formatCode>0.00</c:formatCode>
                <c:ptCount val="4"/>
                <c:pt idx="0">
                  <c:v>353.17094017094018</c:v>
                </c:pt>
                <c:pt idx="1">
                  <c:v>485.15887850467288</c:v>
                </c:pt>
                <c:pt idx="2">
                  <c:v>397.31944444444446</c:v>
                </c:pt>
                <c:pt idx="3">
                  <c:v>569.36666666666667</c:v>
                </c:pt>
              </c:numCache>
            </c:numRef>
          </c:val>
          <c:extLst>
            <c:ext xmlns:c16="http://schemas.microsoft.com/office/drawing/2014/chart" uri="{C3380CC4-5D6E-409C-BE32-E72D297353CC}">
              <c16:uniqueId val="{00000000-DE91-4E45-ABC9-C685FC77643E}"/>
            </c:ext>
          </c:extLst>
        </c:ser>
        <c:dLbls>
          <c:showLegendKey val="0"/>
          <c:showVal val="0"/>
          <c:showCatName val="0"/>
          <c:showSerName val="0"/>
          <c:showPercent val="0"/>
          <c:showBubbleSize val="0"/>
        </c:dLbls>
        <c:gapWidth val="219"/>
        <c:overlap val="-27"/>
        <c:axId val="961116680"/>
        <c:axId val="1253798407"/>
      </c:barChart>
      <c:catAx>
        <c:axId val="961116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000000"/>
                </a:solidFill>
                <a:latin typeface="+mn-lt"/>
                <a:ea typeface="+mn-ea"/>
                <a:cs typeface="+mn-cs"/>
              </a:defRPr>
            </a:pPr>
            <a:endParaRPr lang="en-US"/>
          </a:p>
        </c:txPr>
        <c:crossAx val="1253798407"/>
        <c:crosses val="autoZero"/>
        <c:auto val="1"/>
        <c:lblAlgn val="ctr"/>
        <c:lblOffset val="100"/>
        <c:noMultiLvlLbl val="0"/>
      </c:catAx>
      <c:valAx>
        <c:axId val="1253798407"/>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000000"/>
                </a:solidFill>
                <a:latin typeface="+mn-lt"/>
                <a:ea typeface="+mn-ea"/>
                <a:cs typeface="+mn-cs"/>
              </a:defRPr>
            </a:pPr>
            <a:endParaRPr lang="en-US"/>
          </a:p>
        </c:txPr>
        <c:crossAx val="961116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rgbClr val="000000"/>
                </a:solidFill>
                <a:latin typeface="+mn-lt"/>
                <a:ea typeface="+mn-ea"/>
                <a:cs typeface="+mn-cs"/>
              </a:defRPr>
            </a:pPr>
            <a:r>
              <a:rPr lang="en-US"/>
              <a:t>Draft Position vs Career Win Shares</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00000"/>
              </a:solidFill>
              <a:latin typeface="+mn-lt"/>
              <a:ea typeface="+mn-ea"/>
              <a:cs typeface="+mn-cs"/>
            </a:defRPr>
          </a:pPr>
          <a:endParaRPr lang="en-US"/>
        </a:p>
      </c:txPr>
    </c:title>
    <c:autoTitleDeleted val="0"/>
    <c:plotArea>
      <c:layout/>
      <c:scatterChart>
        <c:scatterStyle val="lineMarker"/>
        <c:varyColors val="0"/>
        <c:ser>
          <c:idx val="0"/>
          <c:order val="0"/>
          <c:tx>
            <c:strRef>
              <c:f>DraftData!$B$1</c:f>
              <c:strCache>
                <c:ptCount val="1"/>
                <c:pt idx="0">
                  <c:v>Pick</c:v>
                </c:pt>
              </c:strCache>
            </c:strRef>
          </c:tx>
          <c:spPr>
            <a:ln w="25400" cap="rnd">
              <a:noFill/>
              <a:round/>
            </a:ln>
            <a:effectLst/>
          </c:spPr>
          <c:marker>
            <c:symbol val="circle"/>
            <c:size val="5"/>
            <c:spPr>
              <a:solidFill>
                <a:srgbClr val="9BBB59"/>
              </a:solidFill>
              <a:ln w="9525">
                <a:solidFill>
                  <a:srgbClr val="4F81BD"/>
                </a:solidFill>
                <a:prstDash val="solid"/>
              </a:ln>
              <a:effectLst/>
            </c:spPr>
          </c:marker>
          <c:trendline>
            <c:spPr>
              <a:ln w="19050" cap="rnd">
                <a:solidFill>
                  <a:srgbClr val="4F81BD"/>
                </a:solidFill>
                <a:prstDash val="sysDot"/>
              </a:ln>
              <a:effectLst/>
            </c:spPr>
            <c:trendlineType val="linear"/>
            <c:dispRSqr val="1"/>
            <c:dispEq val="1"/>
            <c:trendlineLbl>
              <c:layout>
                <c:manualLayout>
                  <c:x val="0.11762117235345582"/>
                  <c:y val="0.4576144648585593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trendlineLbl>
          </c:trendline>
          <c:yVal>
            <c:numRef>
              <c:f>DraftData!$B$2:$B$361</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1</c:v>
                </c:pt>
                <c:pt idx="31">
                  <c:v>2</c:v>
                </c:pt>
                <c:pt idx="32">
                  <c:v>3</c:v>
                </c:pt>
                <c:pt idx="33">
                  <c:v>4</c:v>
                </c:pt>
                <c:pt idx="34">
                  <c:v>5</c:v>
                </c:pt>
                <c:pt idx="35">
                  <c:v>6</c:v>
                </c:pt>
                <c:pt idx="36">
                  <c:v>7</c:v>
                </c:pt>
                <c:pt idx="37">
                  <c:v>8</c:v>
                </c:pt>
                <c:pt idx="38">
                  <c:v>9</c:v>
                </c:pt>
                <c:pt idx="39">
                  <c:v>10</c:v>
                </c:pt>
                <c:pt idx="40">
                  <c:v>11</c:v>
                </c:pt>
                <c:pt idx="41">
                  <c:v>12</c:v>
                </c:pt>
                <c:pt idx="42">
                  <c:v>13</c:v>
                </c:pt>
                <c:pt idx="43">
                  <c:v>14</c:v>
                </c:pt>
                <c:pt idx="44">
                  <c:v>15</c:v>
                </c:pt>
                <c:pt idx="45">
                  <c:v>16</c:v>
                </c:pt>
                <c:pt idx="46">
                  <c:v>17</c:v>
                </c:pt>
                <c:pt idx="47">
                  <c:v>18</c:v>
                </c:pt>
                <c:pt idx="48">
                  <c:v>19</c:v>
                </c:pt>
                <c:pt idx="49">
                  <c:v>20</c:v>
                </c:pt>
                <c:pt idx="50">
                  <c:v>21</c:v>
                </c:pt>
                <c:pt idx="51">
                  <c:v>22</c:v>
                </c:pt>
                <c:pt idx="52">
                  <c:v>23</c:v>
                </c:pt>
                <c:pt idx="53">
                  <c:v>24</c:v>
                </c:pt>
                <c:pt idx="54">
                  <c:v>25</c:v>
                </c:pt>
                <c:pt idx="55">
                  <c:v>26</c:v>
                </c:pt>
                <c:pt idx="56">
                  <c:v>27</c:v>
                </c:pt>
                <c:pt idx="57">
                  <c:v>28</c:v>
                </c:pt>
                <c:pt idx="58">
                  <c:v>29</c:v>
                </c:pt>
                <c:pt idx="59">
                  <c:v>30</c:v>
                </c:pt>
                <c:pt idx="60">
                  <c:v>1</c:v>
                </c:pt>
                <c:pt idx="61">
                  <c:v>2</c:v>
                </c:pt>
                <c:pt idx="62">
                  <c:v>3</c:v>
                </c:pt>
                <c:pt idx="63">
                  <c:v>4</c:v>
                </c:pt>
                <c:pt idx="64">
                  <c:v>5</c:v>
                </c:pt>
                <c:pt idx="65">
                  <c:v>6</c:v>
                </c:pt>
                <c:pt idx="66">
                  <c:v>7</c:v>
                </c:pt>
                <c:pt idx="67">
                  <c:v>8</c:v>
                </c:pt>
                <c:pt idx="68">
                  <c:v>9</c:v>
                </c:pt>
                <c:pt idx="69">
                  <c:v>10</c:v>
                </c:pt>
                <c:pt idx="70">
                  <c:v>11</c:v>
                </c:pt>
                <c:pt idx="71">
                  <c:v>12</c:v>
                </c:pt>
                <c:pt idx="72">
                  <c:v>13</c:v>
                </c:pt>
                <c:pt idx="73">
                  <c:v>14</c:v>
                </c:pt>
                <c:pt idx="74">
                  <c:v>15</c:v>
                </c:pt>
                <c:pt idx="75">
                  <c:v>16</c:v>
                </c:pt>
                <c:pt idx="76">
                  <c:v>17</c:v>
                </c:pt>
                <c:pt idx="77">
                  <c:v>18</c:v>
                </c:pt>
                <c:pt idx="78">
                  <c:v>19</c:v>
                </c:pt>
                <c:pt idx="79">
                  <c:v>20</c:v>
                </c:pt>
                <c:pt idx="80">
                  <c:v>21</c:v>
                </c:pt>
                <c:pt idx="81">
                  <c:v>22</c:v>
                </c:pt>
                <c:pt idx="82">
                  <c:v>23</c:v>
                </c:pt>
                <c:pt idx="83">
                  <c:v>24</c:v>
                </c:pt>
                <c:pt idx="84">
                  <c:v>25</c:v>
                </c:pt>
                <c:pt idx="85">
                  <c:v>26</c:v>
                </c:pt>
                <c:pt idx="86">
                  <c:v>27</c:v>
                </c:pt>
                <c:pt idx="87">
                  <c:v>28</c:v>
                </c:pt>
                <c:pt idx="88">
                  <c:v>29</c:v>
                </c:pt>
                <c:pt idx="89">
                  <c:v>30</c:v>
                </c:pt>
                <c:pt idx="90">
                  <c:v>1</c:v>
                </c:pt>
                <c:pt idx="91">
                  <c:v>2</c:v>
                </c:pt>
                <c:pt idx="92">
                  <c:v>3</c:v>
                </c:pt>
                <c:pt idx="93">
                  <c:v>4</c:v>
                </c:pt>
                <c:pt idx="94">
                  <c:v>5</c:v>
                </c:pt>
                <c:pt idx="95">
                  <c:v>6</c:v>
                </c:pt>
                <c:pt idx="96">
                  <c:v>7</c:v>
                </c:pt>
                <c:pt idx="97">
                  <c:v>8</c:v>
                </c:pt>
                <c:pt idx="98">
                  <c:v>9</c:v>
                </c:pt>
                <c:pt idx="99">
                  <c:v>10</c:v>
                </c:pt>
                <c:pt idx="100">
                  <c:v>11</c:v>
                </c:pt>
                <c:pt idx="101">
                  <c:v>12</c:v>
                </c:pt>
                <c:pt idx="102">
                  <c:v>13</c:v>
                </c:pt>
                <c:pt idx="103">
                  <c:v>14</c:v>
                </c:pt>
                <c:pt idx="104">
                  <c:v>15</c:v>
                </c:pt>
                <c:pt idx="105">
                  <c:v>16</c:v>
                </c:pt>
                <c:pt idx="106">
                  <c:v>17</c:v>
                </c:pt>
                <c:pt idx="107">
                  <c:v>18</c:v>
                </c:pt>
                <c:pt idx="108">
                  <c:v>19</c:v>
                </c:pt>
                <c:pt idx="109">
                  <c:v>20</c:v>
                </c:pt>
                <c:pt idx="110">
                  <c:v>21</c:v>
                </c:pt>
                <c:pt idx="111">
                  <c:v>22</c:v>
                </c:pt>
                <c:pt idx="112">
                  <c:v>23</c:v>
                </c:pt>
                <c:pt idx="113">
                  <c:v>24</c:v>
                </c:pt>
                <c:pt idx="114">
                  <c:v>25</c:v>
                </c:pt>
                <c:pt idx="115">
                  <c:v>26</c:v>
                </c:pt>
                <c:pt idx="116">
                  <c:v>27</c:v>
                </c:pt>
                <c:pt idx="117">
                  <c:v>28</c:v>
                </c:pt>
                <c:pt idx="118">
                  <c:v>29</c:v>
                </c:pt>
                <c:pt idx="119">
                  <c:v>30</c:v>
                </c:pt>
                <c:pt idx="120">
                  <c:v>1</c:v>
                </c:pt>
                <c:pt idx="121">
                  <c:v>2</c:v>
                </c:pt>
                <c:pt idx="122">
                  <c:v>3</c:v>
                </c:pt>
                <c:pt idx="123">
                  <c:v>4</c:v>
                </c:pt>
                <c:pt idx="124">
                  <c:v>5</c:v>
                </c:pt>
                <c:pt idx="125">
                  <c:v>6</c:v>
                </c:pt>
                <c:pt idx="126">
                  <c:v>7</c:v>
                </c:pt>
                <c:pt idx="127">
                  <c:v>8</c:v>
                </c:pt>
                <c:pt idx="128">
                  <c:v>9</c:v>
                </c:pt>
                <c:pt idx="129">
                  <c:v>10</c:v>
                </c:pt>
                <c:pt idx="130">
                  <c:v>11</c:v>
                </c:pt>
                <c:pt idx="131">
                  <c:v>12</c:v>
                </c:pt>
                <c:pt idx="132">
                  <c:v>13</c:v>
                </c:pt>
                <c:pt idx="133">
                  <c:v>14</c:v>
                </c:pt>
                <c:pt idx="134">
                  <c:v>15</c:v>
                </c:pt>
                <c:pt idx="135">
                  <c:v>16</c:v>
                </c:pt>
                <c:pt idx="136">
                  <c:v>17</c:v>
                </c:pt>
                <c:pt idx="137">
                  <c:v>18</c:v>
                </c:pt>
                <c:pt idx="138">
                  <c:v>19</c:v>
                </c:pt>
                <c:pt idx="139">
                  <c:v>20</c:v>
                </c:pt>
                <c:pt idx="140">
                  <c:v>21</c:v>
                </c:pt>
                <c:pt idx="141">
                  <c:v>22</c:v>
                </c:pt>
                <c:pt idx="142">
                  <c:v>23</c:v>
                </c:pt>
                <c:pt idx="143">
                  <c:v>24</c:v>
                </c:pt>
                <c:pt idx="144">
                  <c:v>25</c:v>
                </c:pt>
                <c:pt idx="145">
                  <c:v>26</c:v>
                </c:pt>
                <c:pt idx="146">
                  <c:v>27</c:v>
                </c:pt>
                <c:pt idx="147">
                  <c:v>28</c:v>
                </c:pt>
                <c:pt idx="148">
                  <c:v>29</c:v>
                </c:pt>
                <c:pt idx="149">
                  <c:v>30</c:v>
                </c:pt>
                <c:pt idx="150">
                  <c:v>1</c:v>
                </c:pt>
                <c:pt idx="151">
                  <c:v>2</c:v>
                </c:pt>
                <c:pt idx="152">
                  <c:v>3</c:v>
                </c:pt>
                <c:pt idx="153">
                  <c:v>4</c:v>
                </c:pt>
                <c:pt idx="154">
                  <c:v>5</c:v>
                </c:pt>
                <c:pt idx="155">
                  <c:v>6</c:v>
                </c:pt>
                <c:pt idx="156">
                  <c:v>7</c:v>
                </c:pt>
                <c:pt idx="157">
                  <c:v>8</c:v>
                </c:pt>
                <c:pt idx="158">
                  <c:v>9</c:v>
                </c:pt>
                <c:pt idx="159">
                  <c:v>10</c:v>
                </c:pt>
                <c:pt idx="160">
                  <c:v>11</c:v>
                </c:pt>
                <c:pt idx="161">
                  <c:v>12</c:v>
                </c:pt>
                <c:pt idx="162">
                  <c:v>13</c:v>
                </c:pt>
                <c:pt idx="163">
                  <c:v>14</c:v>
                </c:pt>
                <c:pt idx="164">
                  <c:v>15</c:v>
                </c:pt>
                <c:pt idx="165">
                  <c:v>16</c:v>
                </c:pt>
                <c:pt idx="166">
                  <c:v>17</c:v>
                </c:pt>
                <c:pt idx="167">
                  <c:v>18</c:v>
                </c:pt>
                <c:pt idx="168">
                  <c:v>19</c:v>
                </c:pt>
                <c:pt idx="169">
                  <c:v>20</c:v>
                </c:pt>
                <c:pt idx="170">
                  <c:v>21</c:v>
                </c:pt>
                <c:pt idx="171">
                  <c:v>22</c:v>
                </c:pt>
                <c:pt idx="172">
                  <c:v>23</c:v>
                </c:pt>
                <c:pt idx="173">
                  <c:v>24</c:v>
                </c:pt>
                <c:pt idx="174">
                  <c:v>25</c:v>
                </c:pt>
                <c:pt idx="175">
                  <c:v>26</c:v>
                </c:pt>
                <c:pt idx="176">
                  <c:v>27</c:v>
                </c:pt>
                <c:pt idx="177">
                  <c:v>28</c:v>
                </c:pt>
                <c:pt idx="178">
                  <c:v>29</c:v>
                </c:pt>
                <c:pt idx="179">
                  <c:v>30</c:v>
                </c:pt>
                <c:pt idx="180">
                  <c:v>1</c:v>
                </c:pt>
                <c:pt idx="181">
                  <c:v>2</c:v>
                </c:pt>
                <c:pt idx="182">
                  <c:v>3</c:v>
                </c:pt>
                <c:pt idx="183">
                  <c:v>4</c:v>
                </c:pt>
                <c:pt idx="184">
                  <c:v>5</c:v>
                </c:pt>
                <c:pt idx="185">
                  <c:v>6</c:v>
                </c:pt>
                <c:pt idx="186">
                  <c:v>7</c:v>
                </c:pt>
                <c:pt idx="187">
                  <c:v>8</c:v>
                </c:pt>
                <c:pt idx="188">
                  <c:v>9</c:v>
                </c:pt>
                <c:pt idx="189">
                  <c:v>10</c:v>
                </c:pt>
                <c:pt idx="190">
                  <c:v>11</c:v>
                </c:pt>
                <c:pt idx="191">
                  <c:v>12</c:v>
                </c:pt>
                <c:pt idx="192">
                  <c:v>13</c:v>
                </c:pt>
                <c:pt idx="193">
                  <c:v>14</c:v>
                </c:pt>
                <c:pt idx="194">
                  <c:v>15</c:v>
                </c:pt>
                <c:pt idx="195">
                  <c:v>16</c:v>
                </c:pt>
                <c:pt idx="196">
                  <c:v>17</c:v>
                </c:pt>
                <c:pt idx="197">
                  <c:v>18</c:v>
                </c:pt>
                <c:pt idx="198">
                  <c:v>19</c:v>
                </c:pt>
                <c:pt idx="199">
                  <c:v>20</c:v>
                </c:pt>
                <c:pt idx="200">
                  <c:v>21</c:v>
                </c:pt>
                <c:pt idx="201">
                  <c:v>22</c:v>
                </c:pt>
                <c:pt idx="202">
                  <c:v>23</c:v>
                </c:pt>
                <c:pt idx="203">
                  <c:v>24</c:v>
                </c:pt>
                <c:pt idx="204">
                  <c:v>25</c:v>
                </c:pt>
                <c:pt idx="205">
                  <c:v>26</c:v>
                </c:pt>
                <c:pt idx="206">
                  <c:v>27</c:v>
                </c:pt>
                <c:pt idx="207">
                  <c:v>28</c:v>
                </c:pt>
                <c:pt idx="208">
                  <c:v>29</c:v>
                </c:pt>
                <c:pt idx="209">
                  <c:v>30</c:v>
                </c:pt>
                <c:pt idx="210">
                  <c:v>1</c:v>
                </c:pt>
                <c:pt idx="211">
                  <c:v>2</c:v>
                </c:pt>
                <c:pt idx="212">
                  <c:v>3</c:v>
                </c:pt>
                <c:pt idx="213">
                  <c:v>4</c:v>
                </c:pt>
                <c:pt idx="214">
                  <c:v>5</c:v>
                </c:pt>
                <c:pt idx="215">
                  <c:v>6</c:v>
                </c:pt>
                <c:pt idx="216">
                  <c:v>7</c:v>
                </c:pt>
                <c:pt idx="217">
                  <c:v>8</c:v>
                </c:pt>
                <c:pt idx="218">
                  <c:v>9</c:v>
                </c:pt>
                <c:pt idx="219">
                  <c:v>10</c:v>
                </c:pt>
                <c:pt idx="220">
                  <c:v>11</c:v>
                </c:pt>
                <c:pt idx="221">
                  <c:v>12</c:v>
                </c:pt>
                <c:pt idx="222">
                  <c:v>13</c:v>
                </c:pt>
                <c:pt idx="223">
                  <c:v>14</c:v>
                </c:pt>
                <c:pt idx="224">
                  <c:v>15</c:v>
                </c:pt>
                <c:pt idx="225">
                  <c:v>16</c:v>
                </c:pt>
                <c:pt idx="226">
                  <c:v>17</c:v>
                </c:pt>
                <c:pt idx="227">
                  <c:v>18</c:v>
                </c:pt>
                <c:pt idx="228">
                  <c:v>19</c:v>
                </c:pt>
                <c:pt idx="229">
                  <c:v>20</c:v>
                </c:pt>
                <c:pt idx="230">
                  <c:v>21</c:v>
                </c:pt>
                <c:pt idx="231">
                  <c:v>22</c:v>
                </c:pt>
                <c:pt idx="232">
                  <c:v>23</c:v>
                </c:pt>
                <c:pt idx="233">
                  <c:v>24</c:v>
                </c:pt>
                <c:pt idx="234">
                  <c:v>25</c:v>
                </c:pt>
                <c:pt idx="235">
                  <c:v>26</c:v>
                </c:pt>
                <c:pt idx="236">
                  <c:v>27</c:v>
                </c:pt>
                <c:pt idx="237">
                  <c:v>28</c:v>
                </c:pt>
                <c:pt idx="238">
                  <c:v>29</c:v>
                </c:pt>
                <c:pt idx="239">
                  <c:v>30</c:v>
                </c:pt>
                <c:pt idx="240">
                  <c:v>1</c:v>
                </c:pt>
                <c:pt idx="241">
                  <c:v>2</c:v>
                </c:pt>
                <c:pt idx="242">
                  <c:v>3</c:v>
                </c:pt>
                <c:pt idx="243">
                  <c:v>4</c:v>
                </c:pt>
                <c:pt idx="244">
                  <c:v>5</c:v>
                </c:pt>
                <c:pt idx="245">
                  <c:v>6</c:v>
                </c:pt>
                <c:pt idx="246">
                  <c:v>7</c:v>
                </c:pt>
                <c:pt idx="247">
                  <c:v>8</c:v>
                </c:pt>
                <c:pt idx="248">
                  <c:v>9</c:v>
                </c:pt>
                <c:pt idx="249">
                  <c:v>10</c:v>
                </c:pt>
                <c:pt idx="250">
                  <c:v>11</c:v>
                </c:pt>
                <c:pt idx="251">
                  <c:v>12</c:v>
                </c:pt>
                <c:pt idx="252">
                  <c:v>13</c:v>
                </c:pt>
                <c:pt idx="253">
                  <c:v>14</c:v>
                </c:pt>
                <c:pt idx="254">
                  <c:v>15</c:v>
                </c:pt>
                <c:pt idx="255">
                  <c:v>16</c:v>
                </c:pt>
                <c:pt idx="256">
                  <c:v>17</c:v>
                </c:pt>
                <c:pt idx="257">
                  <c:v>18</c:v>
                </c:pt>
                <c:pt idx="258">
                  <c:v>19</c:v>
                </c:pt>
                <c:pt idx="259">
                  <c:v>20</c:v>
                </c:pt>
                <c:pt idx="260">
                  <c:v>21</c:v>
                </c:pt>
                <c:pt idx="261">
                  <c:v>22</c:v>
                </c:pt>
                <c:pt idx="262">
                  <c:v>23</c:v>
                </c:pt>
                <c:pt idx="263">
                  <c:v>24</c:v>
                </c:pt>
                <c:pt idx="264">
                  <c:v>25</c:v>
                </c:pt>
                <c:pt idx="265">
                  <c:v>26</c:v>
                </c:pt>
                <c:pt idx="266">
                  <c:v>27</c:v>
                </c:pt>
                <c:pt idx="267">
                  <c:v>28</c:v>
                </c:pt>
                <c:pt idx="268">
                  <c:v>29</c:v>
                </c:pt>
                <c:pt idx="269">
                  <c:v>30</c:v>
                </c:pt>
                <c:pt idx="270">
                  <c:v>1</c:v>
                </c:pt>
                <c:pt idx="271">
                  <c:v>2</c:v>
                </c:pt>
                <c:pt idx="272">
                  <c:v>3</c:v>
                </c:pt>
                <c:pt idx="273">
                  <c:v>4</c:v>
                </c:pt>
                <c:pt idx="274">
                  <c:v>5</c:v>
                </c:pt>
                <c:pt idx="275">
                  <c:v>6</c:v>
                </c:pt>
                <c:pt idx="276">
                  <c:v>7</c:v>
                </c:pt>
                <c:pt idx="277">
                  <c:v>8</c:v>
                </c:pt>
                <c:pt idx="278">
                  <c:v>9</c:v>
                </c:pt>
                <c:pt idx="279">
                  <c:v>10</c:v>
                </c:pt>
                <c:pt idx="280">
                  <c:v>11</c:v>
                </c:pt>
                <c:pt idx="281">
                  <c:v>12</c:v>
                </c:pt>
                <c:pt idx="282">
                  <c:v>13</c:v>
                </c:pt>
                <c:pt idx="283">
                  <c:v>14</c:v>
                </c:pt>
                <c:pt idx="284">
                  <c:v>15</c:v>
                </c:pt>
                <c:pt idx="285">
                  <c:v>16</c:v>
                </c:pt>
                <c:pt idx="286">
                  <c:v>17</c:v>
                </c:pt>
                <c:pt idx="287">
                  <c:v>18</c:v>
                </c:pt>
                <c:pt idx="288">
                  <c:v>19</c:v>
                </c:pt>
                <c:pt idx="289">
                  <c:v>20</c:v>
                </c:pt>
                <c:pt idx="290">
                  <c:v>21</c:v>
                </c:pt>
                <c:pt idx="291">
                  <c:v>22</c:v>
                </c:pt>
                <c:pt idx="292">
                  <c:v>23</c:v>
                </c:pt>
                <c:pt idx="293">
                  <c:v>24</c:v>
                </c:pt>
                <c:pt idx="294">
                  <c:v>25</c:v>
                </c:pt>
                <c:pt idx="295">
                  <c:v>26</c:v>
                </c:pt>
                <c:pt idx="296">
                  <c:v>27</c:v>
                </c:pt>
                <c:pt idx="297">
                  <c:v>28</c:v>
                </c:pt>
                <c:pt idx="298">
                  <c:v>29</c:v>
                </c:pt>
                <c:pt idx="299">
                  <c:v>30</c:v>
                </c:pt>
                <c:pt idx="300">
                  <c:v>1</c:v>
                </c:pt>
                <c:pt idx="301">
                  <c:v>2</c:v>
                </c:pt>
                <c:pt idx="302">
                  <c:v>3</c:v>
                </c:pt>
                <c:pt idx="303">
                  <c:v>4</c:v>
                </c:pt>
                <c:pt idx="304">
                  <c:v>5</c:v>
                </c:pt>
                <c:pt idx="305">
                  <c:v>6</c:v>
                </c:pt>
                <c:pt idx="306">
                  <c:v>7</c:v>
                </c:pt>
                <c:pt idx="307">
                  <c:v>8</c:v>
                </c:pt>
                <c:pt idx="308">
                  <c:v>9</c:v>
                </c:pt>
                <c:pt idx="309">
                  <c:v>10</c:v>
                </c:pt>
                <c:pt idx="310">
                  <c:v>11</c:v>
                </c:pt>
                <c:pt idx="311">
                  <c:v>12</c:v>
                </c:pt>
                <c:pt idx="312">
                  <c:v>13</c:v>
                </c:pt>
                <c:pt idx="313">
                  <c:v>14</c:v>
                </c:pt>
                <c:pt idx="314">
                  <c:v>15</c:v>
                </c:pt>
                <c:pt idx="315">
                  <c:v>16</c:v>
                </c:pt>
                <c:pt idx="316">
                  <c:v>17</c:v>
                </c:pt>
                <c:pt idx="317">
                  <c:v>18</c:v>
                </c:pt>
                <c:pt idx="318">
                  <c:v>19</c:v>
                </c:pt>
                <c:pt idx="319">
                  <c:v>20</c:v>
                </c:pt>
                <c:pt idx="320">
                  <c:v>21</c:v>
                </c:pt>
                <c:pt idx="321">
                  <c:v>22</c:v>
                </c:pt>
                <c:pt idx="322">
                  <c:v>23</c:v>
                </c:pt>
                <c:pt idx="323">
                  <c:v>24</c:v>
                </c:pt>
                <c:pt idx="324">
                  <c:v>25</c:v>
                </c:pt>
                <c:pt idx="325">
                  <c:v>26</c:v>
                </c:pt>
                <c:pt idx="326">
                  <c:v>27</c:v>
                </c:pt>
                <c:pt idx="327">
                  <c:v>28</c:v>
                </c:pt>
                <c:pt idx="328">
                  <c:v>29</c:v>
                </c:pt>
                <c:pt idx="329">
                  <c:v>30</c:v>
                </c:pt>
                <c:pt idx="330">
                  <c:v>1</c:v>
                </c:pt>
                <c:pt idx="331">
                  <c:v>2</c:v>
                </c:pt>
                <c:pt idx="332">
                  <c:v>3</c:v>
                </c:pt>
                <c:pt idx="333">
                  <c:v>4</c:v>
                </c:pt>
                <c:pt idx="334">
                  <c:v>5</c:v>
                </c:pt>
                <c:pt idx="335">
                  <c:v>6</c:v>
                </c:pt>
                <c:pt idx="336">
                  <c:v>7</c:v>
                </c:pt>
                <c:pt idx="337">
                  <c:v>8</c:v>
                </c:pt>
                <c:pt idx="338">
                  <c:v>9</c:v>
                </c:pt>
                <c:pt idx="339">
                  <c:v>10</c:v>
                </c:pt>
                <c:pt idx="340">
                  <c:v>11</c:v>
                </c:pt>
                <c:pt idx="341">
                  <c:v>12</c:v>
                </c:pt>
                <c:pt idx="342">
                  <c:v>13</c:v>
                </c:pt>
                <c:pt idx="343">
                  <c:v>14</c:v>
                </c:pt>
                <c:pt idx="344">
                  <c:v>15</c:v>
                </c:pt>
                <c:pt idx="345">
                  <c:v>16</c:v>
                </c:pt>
                <c:pt idx="346">
                  <c:v>17</c:v>
                </c:pt>
                <c:pt idx="347">
                  <c:v>18</c:v>
                </c:pt>
                <c:pt idx="348">
                  <c:v>19</c:v>
                </c:pt>
                <c:pt idx="349">
                  <c:v>20</c:v>
                </c:pt>
                <c:pt idx="350">
                  <c:v>21</c:v>
                </c:pt>
                <c:pt idx="351">
                  <c:v>22</c:v>
                </c:pt>
                <c:pt idx="352">
                  <c:v>23</c:v>
                </c:pt>
                <c:pt idx="353">
                  <c:v>24</c:v>
                </c:pt>
                <c:pt idx="354">
                  <c:v>25</c:v>
                </c:pt>
                <c:pt idx="355">
                  <c:v>26</c:v>
                </c:pt>
                <c:pt idx="356">
                  <c:v>27</c:v>
                </c:pt>
                <c:pt idx="357">
                  <c:v>28</c:v>
                </c:pt>
                <c:pt idx="358">
                  <c:v>29</c:v>
                </c:pt>
                <c:pt idx="359">
                  <c:v>30</c:v>
                </c:pt>
              </c:numCache>
            </c:numRef>
          </c:yVal>
          <c:smooth val="0"/>
          <c:extLst>
            <c:ext xmlns:c16="http://schemas.microsoft.com/office/drawing/2014/chart" uri="{C3380CC4-5D6E-409C-BE32-E72D297353CC}">
              <c16:uniqueId val="{00000001-0506-4738-88A6-90F27ED34572}"/>
            </c:ext>
          </c:extLst>
        </c:ser>
        <c:dLbls>
          <c:showLegendKey val="0"/>
          <c:showVal val="0"/>
          <c:showCatName val="0"/>
          <c:showSerName val="0"/>
          <c:showPercent val="0"/>
          <c:showBubbleSize val="0"/>
        </c:dLbls>
        <c:axId val="1545383431"/>
        <c:axId val="1545372679"/>
      </c:scatterChart>
      <c:valAx>
        <c:axId val="154538343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rgbClr val="000000"/>
                </a:solidFill>
                <a:latin typeface="+mn-lt"/>
                <a:ea typeface="+mn-ea"/>
                <a:cs typeface="+mn-cs"/>
              </a:defRPr>
            </a:pPr>
            <a:endParaRPr lang="en-US"/>
          </a:p>
        </c:txPr>
        <c:crossAx val="1545372679"/>
        <c:crosses val="autoZero"/>
        <c:crossBetween val="midCat"/>
      </c:valAx>
      <c:valAx>
        <c:axId val="1545372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rgbClr val="000000"/>
                </a:solidFill>
                <a:latin typeface="+mn-lt"/>
                <a:ea typeface="+mn-ea"/>
                <a:cs typeface="+mn-cs"/>
              </a:defRPr>
            </a:pPr>
            <a:endParaRPr lang="en-US"/>
          </a:p>
        </c:txPr>
        <c:crossAx val="15453834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[NBA_Draft_2005_2016_First_Round_Data.xlsx]Pivot Tables!PivotTable5</c:name>
    <c:fmtId val="4"/>
  </c:pivotSource>
  <c:chart>
    <c:title>
      <c:tx>
        <c:rich>
          <a:bodyPr rot="0" spcFirstLastPara="1" vertOverflow="ellipsis" vert="horz" wrap="square" anchor="ctr" anchorCtr="1"/>
          <a:lstStyle/>
          <a:p>
            <a:pPr>
              <a:defRPr sz="1600" b="0" i="0" u="none" strike="noStrike" kern="1200" spc="0" baseline="0">
                <a:solidFill>
                  <a:srgbClr val="000000"/>
                </a:solidFill>
                <a:latin typeface="+mn-lt"/>
                <a:ea typeface="+mn-ea"/>
                <a:cs typeface="+mn-cs"/>
              </a:defRPr>
            </a:pPr>
            <a:r>
              <a:rPr lang="en-US"/>
              <a:t>Distribution of Career Outcomes</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 Tables'!$B$31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E4-40A6-AD87-48238D9F61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E4-40A6-AD87-48238D9F61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E4-40A6-AD87-48238D9F61C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EE4-40A6-AD87-48238D9F61C7}"/>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Tables'!$A$32:$A$36</c:f>
              <c:strCache>
                <c:ptCount val="4"/>
                <c:pt idx="0">
                  <c:v>Minimal</c:v>
                </c:pt>
                <c:pt idx="1">
                  <c:v>Rotation</c:v>
                </c:pt>
                <c:pt idx="2">
                  <c:v>Star</c:v>
                </c:pt>
                <c:pt idx="3">
                  <c:v>Starter</c:v>
                </c:pt>
              </c:strCache>
            </c:strRef>
          </c:cat>
          <c:val>
            <c:numRef>
              <c:f>'Pivot Tables'!$B$32:$B$36</c:f>
              <c:numCache>
                <c:formatCode>General</c:formatCode>
                <c:ptCount val="4"/>
                <c:pt idx="0">
                  <c:v>147</c:v>
                </c:pt>
                <c:pt idx="1">
                  <c:v>116</c:v>
                </c:pt>
                <c:pt idx="2">
                  <c:v>17</c:v>
                </c:pt>
                <c:pt idx="3">
                  <c:v>80</c:v>
                </c:pt>
              </c:numCache>
            </c:numRef>
          </c:val>
          <c:extLst>
            <c:ext xmlns:c16="http://schemas.microsoft.com/office/drawing/2014/chart" uri="{C3380CC4-5D6E-409C-BE32-E72D297353CC}">
              <c16:uniqueId val="{00000008-7EE4-40A6-AD87-48238D9F61C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rgbClr val="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[NBA_Draft_2005_2016_First_Round_Data.xlsx]Pivot Tables!PivotTable3</c:name>
    <c:fmtId val="4"/>
  </c:pivotSource>
  <c:chart>
    <c:title>
      <c:tx>
        <c:rich>
          <a:bodyPr rot="0" spcFirstLastPara="1" vertOverflow="ellipsis" vert="horz" wrap="square" anchor="ctr" anchorCtr="1"/>
          <a:lstStyle/>
          <a:p>
            <a:pPr>
              <a:defRPr sz="1600" b="0" i="0" u="none" strike="noStrike" kern="1200" spc="0" baseline="0">
                <a:solidFill>
                  <a:srgbClr val="000000"/>
                </a:solidFill>
                <a:latin typeface="+mn-lt"/>
                <a:ea typeface="+mn-ea"/>
                <a:cs typeface="+mn-cs"/>
              </a:defRPr>
            </a:pPr>
            <a:r>
              <a:rPr lang="en-US"/>
              <a:t>Average BPM by Draft Range</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BBB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Tables'!$B$16</c:f>
              <c:strCache>
                <c:ptCount val="1"/>
                <c:pt idx="0">
                  <c:v>Total</c:v>
                </c:pt>
              </c:strCache>
            </c:strRef>
          </c:tx>
          <c:spPr>
            <a:solidFill>
              <a:srgbClr val="9BBB59"/>
            </a:solidFill>
            <a:ln>
              <a:noFill/>
            </a:ln>
            <a:effectLst/>
          </c:spPr>
          <c:invertIfNegative val="0"/>
          <c:cat>
            <c:strRef>
              <c:f>'Pivot Tables'!$A$17:$A$21</c:f>
              <c:strCache>
                <c:ptCount val="4"/>
                <c:pt idx="0">
                  <c:v>Late First</c:v>
                </c:pt>
                <c:pt idx="1">
                  <c:v>Lottery</c:v>
                </c:pt>
                <c:pt idx="2">
                  <c:v>Mid First</c:v>
                </c:pt>
                <c:pt idx="3">
                  <c:v>Top 5</c:v>
                </c:pt>
              </c:strCache>
            </c:strRef>
          </c:cat>
          <c:val>
            <c:numRef>
              <c:f>'Pivot Tables'!$B$17:$B$21</c:f>
              <c:numCache>
                <c:formatCode>0.00</c:formatCode>
                <c:ptCount val="4"/>
                <c:pt idx="0">
                  <c:v>-1.7504273504273502</c:v>
                </c:pt>
                <c:pt idx="1">
                  <c:v>-0.82149532710280337</c:v>
                </c:pt>
                <c:pt idx="2">
                  <c:v>-1.7222222222222228</c:v>
                </c:pt>
                <c:pt idx="3">
                  <c:v>0.43666666666666681</c:v>
                </c:pt>
              </c:numCache>
            </c:numRef>
          </c:val>
          <c:extLst>
            <c:ext xmlns:c16="http://schemas.microsoft.com/office/drawing/2014/chart" uri="{C3380CC4-5D6E-409C-BE32-E72D297353CC}">
              <c16:uniqueId val="{00000000-8C13-4CA1-9DDF-0D8FFEAE8246}"/>
            </c:ext>
          </c:extLst>
        </c:ser>
        <c:dLbls>
          <c:showLegendKey val="0"/>
          <c:showVal val="0"/>
          <c:showCatName val="0"/>
          <c:showSerName val="0"/>
          <c:showPercent val="0"/>
          <c:showBubbleSize val="0"/>
        </c:dLbls>
        <c:gapWidth val="219"/>
        <c:overlap val="-27"/>
        <c:axId val="240466440"/>
        <c:axId val="242338312"/>
      </c:barChart>
      <c:catAx>
        <c:axId val="24046644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000000"/>
                </a:solidFill>
                <a:latin typeface="+mn-lt"/>
                <a:ea typeface="+mn-ea"/>
                <a:cs typeface="+mn-cs"/>
              </a:defRPr>
            </a:pPr>
            <a:endParaRPr lang="en-US"/>
          </a:p>
        </c:txPr>
        <c:crossAx val="242338312"/>
        <c:crosses val="autoZero"/>
        <c:auto val="1"/>
        <c:lblAlgn val="ctr"/>
        <c:lblOffset val="100"/>
        <c:noMultiLvlLbl val="0"/>
      </c:catAx>
      <c:valAx>
        <c:axId val="24233831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000000"/>
                </a:solidFill>
                <a:latin typeface="+mn-lt"/>
                <a:ea typeface="+mn-ea"/>
                <a:cs typeface="+mn-cs"/>
              </a:defRPr>
            </a:pPr>
            <a:endParaRPr lang="en-US"/>
          </a:p>
        </c:txPr>
        <c:crossAx val="2404664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0</xdr:rowOff>
    </xdr:from>
    <xdr:to>
      <xdr:col>7</xdr:col>
      <xdr:colOff>304800</xdr:colOff>
      <xdr:row>24</xdr:row>
      <xdr:rowOff>76200</xdr:rowOff>
    </xdr:to>
    <xdr:graphicFrame macro="">
      <xdr:nvGraphicFramePr>
        <xdr:cNvPr id="3" name="Chart 2">
          <a:extLst>
            <a:ext uri="{FF2B5EF4-FFF2-40B4-BE49-F238E27FC236}">
              <a16:creationId xmlns:a16="http://schemas.microsoft.com/office/drawing/2014/main" id="{072E9BFB-D4F7-4FA5-A5D7-6540E8487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10</xdr:row>
      <xdr:rowOff>0</xdr:rowOff>
    </xdr:from>
    <xdr:to>
      <xdr:col>16</xdr:col>
      <xdr:colOff>190500</xdr:colOff>
      <xdr:row>24</xdr:row>
      <xdr:rowOff>76200</xdr:rowOff>
    </xdr:to>
    <xdr:graphicFrame macro="">
      <xdr:nvGraphicFramePr>
        <xdr:cNvPr id="4" name="Chart 5">
          <a:extLst>
            <a:ext uri="{FF2B5EF4-FFF2-40B4-BE49-F238E27FC236}">
              <a16:creationId xmlns:a16="http://schemas.microsoft.com/office/drawing/2014/main" id="{3266E816-092F-4110-97D1-B84D1F919689}"/>
            </a:ext>
            <a:ext uri="{147F2762-F138-4A5C-976F-8EAC2B608ADB}">
              <a16:predDERef xmlns:a16="http://schemas.microsoft.com/office/drawing/2014/main" pred="{072E9BFB-D4F7-4FA5-A5D7-6540E8487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0</xdr:rowOff>
    </xdr:from>
    <xdr:to>
      <xdr:col>7</xdr:col>
      <xdr:colOff>304800</xdr:colOff>
      <xdr:row>40</xdr:row>
      <xdr:rowOff>76200</xdr:rowOff>
    </xdr:to>
    <xdr:graphicFrame macro="">
      <xdr:nvGraphicFramePr>
        <xdr:cNvPr id="5" name="Chart 6">
          <a:extLst>
            <a:ext uri="{FF2B5EF4-FFF2-40B4-BE49-F238E27FC236}">
              <a16:creationId xmlns:a16="http://schemas.microsoft.com/office/drawing/2014/main" id="{F836D583-1660-4375-B09C-C979CB192A24}"/>
            </a:ext>
            <a:ext uri="{147F2762-F138-4A5C-976F-8EAC2B608ADB}">
              <a16:predDERef xmlns:a16="http://schemas.microsoft.com/office/drawing/2014/main" pred="{3266E816-092F-4110-97D1-B84D1F919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26</xdr:row>
      <xdr:rowOff>0</xdr:rowOff>
    </xdr:from>
    <xdr:to>
      <xdr:col>16</xdr:col>
      <xdr:colOff>190500</xdr:colOff>
      <xdr:row>40</xdr:row>
      <xdr:rowOff>76200</xdr:rowOff>
    </xdr:to>
    <xdr:graphicFrame macro="">
      <xdr:nvGraphicFramePr>
        <xdr:cNvPr id="6" name="Chart 1">
          <a:extLst>
            <a:ext uri="{FF2B5EF4-FFF2-40B4-BE49-F238E27FC236}">
              <a16:creationId xmlns:a16="http://schemas.microsoft.com/office/drawing/2014/main" id="{D2942255-C7FE-4212-8842-DDDD506226AD}"/>
            </a:ext>
            <a:ext uri="{147F2762-F138-4A5C-976F-8EAC2B608ADB}">
              <a16:predDERef xmlns:a16="http://schemas.microsoft.com/office/drawing/2014/main" pred="{F836D583-1660-4375-B09C-C979CB192A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42</xdr:row>
      <xdr:rowOff>0</xdr:rowOff>
    </xdr:from>
    <xdr:to>
      <xdr:col>7</xdr:col>
      <xdr:colOff>304800</xdr:colOff>
      <xdr:row>56</xdr:row>
      <xdr:rowOff>76200</xdr:rowOff>
    </xdr:to>
    <xdr:graphicFrame macro="">
      <xdr:nvGraphicFramePr>
        <xdr:cNvPr id="7" name="Chart 4">
          <a:extLst>
            <a:ext uri="{FF2B5EF4-FFF2-40B4-BE49-F238E27FC236}">
              <a16:creationId xmlns:a16="http://schemas.microsoft.com/office/drawing/2014/main" id="{BC8F10AC-C333-4FB4-9DDA-605A6D12B7BE}"/>
            </a:ext>
            <a:ext uri="{147F2762-F138-4A5C-976F-8EAC2B608ADB}">
              <a16:predDERef xmlns:a16="http://schemas.microsoft.com/office/drawing/2014/main" pred="{D2942255-C7FE-4212-8842-DDDD50622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47625</xdr:colOff>
      <xdr:row>57</xdr:row>
      <xdr:rowOff>142875</xdr:rowOff>
    </xdr:from>
    <xdr:to>
      <xdr:col>9</xdr:col>
      <xdr:colOff>533400</xdr:colOff>
      <xdr:row>67</xdr:row>
      <xdr:rowOff>133350</xdr:rowOff>
    </xdr:to>
    <xdr:sp macro="" textlink="">
      <xdr:nvSpPr>
        <xdr:cNvPr id="8" name="TextBox 7">
          <a:extLst>
            <a:ext uri="{FF2B5EF4-FFF2-40B4-BE49-F238E27FC236}">
              <a16:creationId xmlns:a16="http://schemas.microsoft.com/office/drawing/2014/main" id="{50AA54E8-5803-0D61-CB35-69ECF35B8E45}"/>
            </a:ext>
            <a:ext uri="{147F2762-F138-4A5C-976F-8EAC2B608ADB}">
              <a16:predDERef xmlns:a16="http://schemas.microsoft.com/office/drawing/2014/main" pred="{BC8F10AC-C333-4FB4-9DDA-605A6D12B7BE}"/>
            </a:ext>
          </a:extLst>
        </xdr:cNvPr>
        <xdr:cNvSpPr txBox="1"/>
      </xdr:nvSpPr>
      <xdr:spPr>
        <a:xfrm>
          <a:off x="47625" y="11258550"/>
          <a:ext cx="5972175" cy="18954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400" b="1" u="sng">
              <a:latin typeface="+mn-lt"/>
              <a:ea typeface="+mn-lt"/>
              <a:cs typeface="+mn-lt"/>
            </a:rPr>
            <a:t>Key Findings</a:t>
          </a:r>
          <a:endParaRPr lang="en-US" sz="1400" b="0" u="none">
            <a:latin typeface="+mn-lt"/>
            <a:ea typeface="+mn-lt"/>
            <a:cs typeface="+mn-lt"/>
          </a:endParaRPr>
        </a:p>
        <a:p>
          <a:pPr marL="0" indent="0" algn="ctr"/>
          <a:r>
            <a:rPr lang="en-US" sz="1400" b="0" u="none">
              <a:latin typeface="+mn-lt"/>
              <a:ea typeface="+mn-lt"/>
              <a:cs typeface="+mn-lt"/>
            </a:rPr>
            <a:t>• Lottery picks produce the highest average career value.</a:t>
          </a:r>
        </a:p>
        <a:p>
          <a:pPr marL="0" indent="0" algn="ctr"/>
          <a:r>
            <a:rPr lang="en-US" sz="1400" b="0" u="none">
              <a:latin typeface="+mn-lt"/>
              <a:ea typeface="+mn-lt"/>
              <a:cs typeface="+mn-lt"/>
            </a:rPr>
            <a:t>• Draft position has a negative relationship with career Win Shares.</a:t>
          </a:r>
        </a:p>
        <a:p>
          <a:pPr marL="0" indent="0" algn="ctr"/>
          <a:r>
            <a:rPr lang="en-US" sz="1400" b="0" u="none">
              <a:latin typeface="+mn-lt"/>
              <a:ea typeface="+mn-lt"/>
              <a:cs typeface="+mn-lt"/>
            </a:rPr>
            <a:t>• Several mid-first-round selections dramatically outperformed expectations.</a:t>
          </a:r>
        </a:p>
        <a:p>
          <a:pPr marL="0" indent="0" algn="ctr"/>
          <a:r>
            <a:rPr lang="en-US" sz="1400" b="0" u="none">
              <a:latin typeface="+mn-lt"/>
              <a:ea typeface="+mn-lt"/>
              <a:cs typeface="+mn-lt"/>
            </a:rPr>
            <a:t>• Chris Paul generated the highest Value Above Expected in this dataset.</a:t>
          </a:r>
          <a:endParaRPr lang="en-US" sz="1100" b="1" u="sng">
            <a:latin typeface="+mn-lt"/>
            <a:ea typeface="+mn-lt"/>
            <a:cs typeface="+mn-lt"/>
          </a:endParaRPr>
        </a:p>
        <a:p>
          <a:pPr marL="0" indent="0" algn="ctr"/>
          <a:endParaRPr lang="en-US" sz="1100" b="1">
            <a:latin typeface="+mn-lt"/>
            <a:ea typeface="+mn-lt"/>
            <a:cs typeface="+mn-lt"/>
          </a:endParaRPr>
        </a:p>
      </xdr:txBody>
    </xdr:sp>
    <xdr:clientData/>
  </xdr:twoCellAnchor>
  <xdr:twoCellAnchor>
    <xdr:from>
      <xdr:col>9</xdr:col>
      <xdr:colOff>561975</xdr:colOff>
      <xdr:row>57</xdr:row>
      <xdr:rowOff>142875</xdr:rowOff>
    </xdr:from>
    <xdr:to>
      <xdr:col>14</xdr:col>
      <xdr:colOff>514350</xdr:colOff>
      <xdr:row>67</xdr:row>
      <xdr:rowOff>133350</xdr:rowOff>
    </xdr:to>
    <xdr:sp macro="" textlink="">
      <xdr:nvSpPr>
        <xdr:cNvPr id="9" name="TextBox 8">
          <a:extLst>
            <a:ext uri="{FF2B5EF4-FFF2-40B4-BE49-F238E27FC236}">
              <a16:creationId xmlns:a16="http://schemas.microsoft.com/office/drawing/2014/main" id="{D420F9FD-2E3E-41F7-838C-98147C708CC8}"/>
            </a:ext>
            <a:ext uri="{147F2762-F138-4A5C-976F-8EAC2B608ADB}">
              <a16:predDERef xmlns:a16="http://schemas.microsoft.com/office/drawing/2014/main" pred="{50AA54E8-5803-0D61-CB35-69ECF35B8E45}"/>
            </a:ext>
          </a:extLst>
        </xdr:cNvPr>
        <xdr:cNvSpPr txBox="1"/>
      </xdr:nvSpPr>
      <xdr:spPr>
        <a:xfrm>
          <a:off x="6048375" y="11258550"/>
          <a:ext cx="4419600" cy="189547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400" b="1" u="sng">
              <a:latin typeface="+mn-lt"/>
              <a:ea typeface="+mn-lt"/>
              <a:cs typeface="+mn-lt"/>
            </a:rPr>
            <a:t>Limitations</a:t>
          </a:r>
          <a:endParaRPr lang="en-US" sz="1400" b="0" u="none">
            <a:latin typeface="+mn-lt"/>
            <a:ea typeface="+mn-lt"/>
            <a:cs typeface="+mn-lt"/>
          </a:endParaRPr>
        </a:p>
        <a:p>
          <a:pPr marL="0" indent="0" algn="ctr"/>
          <a:r>
            <a:rPr lang="en-US" sz="1400" b="0" u="none">
              <a:latin typeface="+mn-lt"/>
              <a:ea typeface="+mn-lt"/>
              <a:cs typeface="+mn-lt"/>
            </a:rPr>
            <a:t>• Career statistics are cumulative through the 2021–22 season.</a:t>
          </a:r>
        </a:p>
        <a:p>
          <a:pPr marL="0" indent="0" algn="ctr"/>
          <a:r>
            <a:rPr lang="en-US" sz="1400" b="0" u="none">
              <a:latin typeface="+mn-lt"/>
              <a:ea typeface="+mn-lt"/>
              <a:cs typeface="+mn-lt"/>
            </a:rPr>
            <a:t>• Earlier draft classes have had more seasons to accumulate Win Shares.</a:t>
          </a:r>
        </a:p>
        <a:p>
          <a:pPr marL="0" indent="0" algn="ctr"/>
          <a:r>
            <a:rPr lang="en-US" sz="1400" b="0" u="none">
              <a:latin typeface="+mn-lt"/>
              <a:ea typeface="+mn-lt"/>
              <a:cs typeface="+mn-lt"/>
            </a:rPr>
            <a:t>• Win Shares is only one measure of player value.</a:t>
          </a:r>
        </a:p>
        <a:p>
          <a:pPr marL="0" indent="0" algn="ctr"/>
          <a:endParaRPr lang="en-US" sz="1100" b="1">
            <a:latin typeface="+mn-lt"/>
            <a:ea typeface="+mn-lt"/>
            <a:cs typeface="+mn-lt"/>
          </a:endParaRPr>
        </a:p>
      </xdr:txBody>
    </xdr:sp>
    <xdr:clientData/>
  </xdr:twoCellAnchor>
  <xdr:twoCellAnchor>
    <xdr:from>
      <xdr:col>0</xdr:col>
      <xdr:colOff>0</xdr:colOff>
      <xdr:row>68</xdr:row>
      <xdr:rowOff>0</xdr:rowOff>
    </xdr:from>
    <xdr:to>
      <xdr:col>9</xdr:col>
      <xdr:colOff>542925</xdr:colOff>
      <xdr:row>77</xdr:row>
      <xdr:rowOff>180975</xdr:rowOff>
    </xdr:to>
    <xdr:sp macro="" textlink="">
      <xdr:nvSpPr>
        <xdr:cNvPr id="10" name="TextBox 9">
          <a:extLst>
            <a:ext uri="{FF2B5EF4-FFF2-40B4-BE49-F238E27FC236}">
              <a16:creationId xmlns:a16="http://schemas.microsoft.com/office/drawing/2014/main" id="{551C0B6C-79AE-44A7-B63D-6215F90699DE}"/>
            </a:ext>
            <a:ext uri="{147F2762-F138-4A5C-976F-8EAC2B608ADB}">
              <a16:predDERef xmlns:a16="http://schemas.microsoft.com/office/drawing/2014/main" pred="{D420F9FD-2E3E-41F7-838C-98147C708CC8}"/>
            </a:ext>
          </a:extLst>
        </xdr:cNvPr>
        <xdr:cNvSpPr txBox="1"/>
      </xdr:nvSpPr>
      <xdr:spPr>
        <a:xfrm>
          <a:off x="0" y="13211175"/>
          <a:ext cx="6029325" cy="189547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400" b="1" u="sng">
              <a:latin typeface="+mn-lt"/>
              <a:ea typeface="+mn-lt"/>
              <a:cs typeface="+mn-lt"/>
            </a:rPr>
            <a:t>Future Improvements</a:t>
          </a:r>
          <a:endParaRPr lang="en-US" sz="1400" b="0" u="none">
            <a:latin typeface="+mn-lt"/>
            <a:ea typeface="+mn-lt"/>
            <a:cs typeface="+mn-lt"/>
          </a:endParaRPr>
        </a:p>
        <a:p>
          <a:pPr marL="0" indent="0" algn="ctr"/>
          <a:r>
            <a:rPr lang="en-US" sz="1400" b="0" u="none">
              <a:latin typeface="+mn-lt"/>
              <a:ea typeface="+mn-lt"/>
              <a:cs typeface="+mn-lt"/>
            </a:rPr>
            <a:t>• Compare players after their first six NBA seasons.</a:t>
          </a:r>
        </a:p>
        <a:p>
          <a:pPr marL="0" indent="0" algn="ctr"/>
          <a:r>
            <a:rPr lang="en-US" sz="1400" b="0" u="none">
              <a:latin typeface="+mn-lt"/>
              <a:ea typeface="+mn-lt"/>
              <a:cs typeface="+mn-lt"/>
            </a:rPr>
            <a:t>• Include salary or contract value to measure return on investment.</a:t>
          </a:r>
        </a:p>
        <a:p>
          <a:pPr marL="0" indent="0" algn="ctr"/>
          <a:r>
            <a:rPr lang="en-US" sz="1400" b="0" u="none">
              <a:latin typeface="+mn-lt"/>
              <a:ea typeface="+mn-lt"/>
              <a:cs typeface="+mn-lt"/>
            </a:rPr>
            <a:t>• Expand the analysis to second-round picks and undrafted players.</a:t>
          </a:r>
        </a:p>
      </xdr:txBody>
    </xdr:sp>
    <xdr:clientData/>
  </xdr:twoCellAnchor>
  <xdr:twoCellAnchor>
    <xdr:from>
      <xdr:col>9</xdr:col>
      <xdr:colOff>552450</xdr:colOff>
      <xdr:row>68</xdr:row>
      <xdr:rowOff>0</xdr:rowOff>
    </xdr:from>
    <xdr:to>
      <xdr:col>14</xdr:col>
      <xdr:colOff>523875</xdr:colOff>
      <xdr:row>77</xdr:row>
      <xdr:rowOff>180975</xdr:rowOff>
    </xdr:to>
    <xdr:sp macro="" textlink="">
      <xdr:nvSpPr>
        <xdr:cNvPr id="11" name="TextBox 10">
          <a:extLst>
            <a:ext uri="{FF2B5EF4-FFF2-40B4-BE49-F238E27FC236}">
              <a16:creationId xmlns:a16="http://schemas.microsoft.com/office/drawing/2014/main" id="{3605B043-76BD-4913-82AC-6F2798691A3B}"/>
            </a:ext>
            <a:ext uri="{147F2762-F138-4A5C-976F-8EAC2B608ADB}">
              <a16:predDERef xmlns:a16="http://schemas.microsoft.com/office/drawing/2014/main" pred="{551C0B6C-79AE-44A7-B63D-6215F90699DE}"/>
            </a:ext>
          </a:extLst>
        </xdr:cNvPr>
        <xdr:cNvSpPr txBox="1"/>
      </xdr:nvSpPr>
      <xdr:spPr>
        <a:xfrm>
          <a:off x="6038850" y="13211175"/>
          <a:ext cx="4438650" cy="189547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400" b="1" u="sng">
              <a:latin typeface="+mn-lt"/>
              <a:ea typeface="+mn-lt"/>
              <a:cs typeface="+mn-lt"/>
            </a:rPr>
            <a:t>Additional Interesting Insights</a:t>
          </a:r>
          <a:endParaRPr lang="en-US" sz="1400" b="0" u="none">
            <a:latin typeface="+mn-lt"/>
            <a:ea typeface="+mn-lt"/>
            <a:cs typeface="+mn-lt"/>
          </a:endParaRPr>
        </a:p>
        <a:p>
          <a:pPr marL="0" marR="0" indent="0" algn="ctr">
            <a:lnSpc>
              <a:spcPct val="100000"/>
            </a:lnSpc>
            <a:spcBef>
              <a:spcPts val="0"/>
            </a:spcBef>
            <a:spcAft>
              <a:spcPts val="0"/>
            </a:spcAft>
          </a:pPr>
          <a:r>
            <a:rPr lang="en-US" sz="1400" b="0" u="none">
              <a:latin typeface="+mn-lt"/>
              <a:ea typeface="+mn-lt"/>
              <a:cs typeface="+mn-lt"/>
            </a:rPr>
            <a:t>• Purely based on Win Shares, pick #9 historically outperformed picks #5, #6, #7 and #8.</a:t>
          </a:r>
          <a:endPar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ctr">
            <a:lnSpc>
              <a:spcPct val="100000"/>
            </a:lnSpc>
            <a:spcBef>
              <a:spcPts val="0"/>
            </a:spcBef>
            <a:spcAft>
              <a:spcPts val="0"/>
            </a:spcAft>
          </a:pPr>
          <a:r>
            <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The average #15 pick produced 25.78 Win Shares, while Kawhi Leonard produced 83.3.</a:t>
          </a:r>
          <a:endParaRPr lang="en-US" sz="1100" b="1" i="0" u="none" strike="noStrike">
            <a:solidFill>
              <a:srgbClr val="000000"/>
            </a:solidFill>
            <a:latin typeface="+mn-lt"/>
            <a:ea typeface="+mn-lt"/>
            <a:cs typeface="+mn-lt"/>
          </a:endParaRPr>
        </a:p>
        <a:p>
          <a:pPr marL="0" marR="0" indent="0" algn="ctr">
            <a:lnSpc>
              <a:spcPct val="100000"/>
            </a:lnSpc>
            <a:spcBef>
              <a:spcPts val="0"/>
            </a:spcBef>
            <a:spcAft>
              <a:spcPts val="0"/>
            </a:spcAft>
          </a:pPr>
          <a:endParaRPr lang="en-US" sz="1100" b="1" u="none">
            <a:latin typeface="+mn-lt"/>
            <a:ea typeface="+mn-lt"/>
            <a:cs typeface="+mn-lt"/>
          </a:endParaRPr>
        </a:p>
        <a:p>
          <a:pPr marL="0" indent="0" algn="ctr"/>
          <a:endParaRPr lang="en-US" sz="1100" b="1" u="none">
            <a:latin typeface="+mn-lt"/>
            <a:ea typeface="+mn-lt"/>
            <a:cs typeface="+mn-lt"/>
          </a:endParaRPr>
        </a:p>
        <a:p>
          <a:pPr marL="0" indent="0" algn="ctr"/>
          <a:endParaRPr lang="en-US" sz="1100" b="1" u="none">
            <a:latin typeface="+mn-lt"/>
            <a:ea typeface="+mn-lt"/>
            <a:cs typeface="+mn-lt"/>
          </a:endParaRPr>
        </a:p>
        <a:p>
          <a:pPr marL="0" indent="0" algn="ctr"/>
          <a:endParaRPr lang="en-US" sz="1100" b="1" u="none">
            <a:latin typeface="+mn-lt"/>
            <a:ea typeface="+mn-lt"/>
            <a:cs typeface="+mn-lt"/>
          </a:endParaRPr>
        </a:p>
        <a:p>
          <a:pPr marL="0" indent="0" algn="ctr"/>
          <a:endParaRPr lang="en-US" sz="1100" b="1" u="none">
            <a:latin typeface="+mn-lt"/>
            <a:ea typeface="+mn-lt"/>
            <a:cs typeface="+mn-lt"/>
          </a:endParaRPr>
        </a:p>
        <a:p>
          <a:pPr marL="0" indent="0" algn="ctr"/>
          <a:endParaRPr lang="en-US" sz="1100" b="1">
            <a:latin typeface="+mn-lt"/>
            <a:ea typeface="+mn-lt"/>
            <a:cs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14</xdr:row>
      <xdr:rowOff>76200</xdr:rowOff>
    </xdr:to>
    <xdr:graphicFrame macro="">
      <xdr:nvGraphicFramePr>
        <xdr:cNvPr id="3" name="Chart 3">
          <a:extLst>
            <a:ext uri="{FF2B5EF4-FFF2-40B4-BE49-F238E27FC236}">
              <a16:creationId xmlns:a16="http://schemas.microsoft.com/office/drawing/2014/main" id="{4B2CC307-823A-6446-FCD7-292069DD0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0</xdr:row>
      <xdr:rowOff>0</xdr:rowOff>
    </xdr:from>
    <xdr:to>
      <xdr:col>15</xdr:col>
      <xdr:colOff>304800</xdr:colOff>
      <xdr:row>14</xdr:row>
      <xdr:rowOff>76200</xdr:rowOff>
    </xdr:to>
    <xdr:graphicFrame macro="">
      <xdr:nvGraphicFramePr>
        <xdr:cNvPr id="4" name="Chart 4">
          <a:extLst>
            <a:ext uri="{FF2B5EF4-FFF2-40B4-BE49-F238E27FC236}">
              <a16:creationId xmlns:a16="http://schemas.microsoft.com/office/drawing/2014/main" id="{EFF3E5AC-E9C3-A5A5-E0B1-758AAE8C94D5}"/>
            </a:ext>
            <a:ext uri="{147F2762-F138-4A5C-976F-8EAC2B608ADB}">
              <a16:predDERef xmlns:a16="http://schemas.microsoft.com/office/drawing/2014/main" pred="{4B2CC307-823A-6446-FCD7-292069DD0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104775</xdr:rowOff>
    </xdr:from>
    <xdr:to>
      <xdr:col>7</xdr:col>
      <xdr:colOff>304800</xdr:colOff>
      <xdr:row>28</xdr:row>
      <xdr:rowOff>180975</xdr:rowOff>
    </xdr:to>
    <xdr:graphicFrame macro="">
      <xdr:nvGraphicFramePr>
        <xdr:cNvPr id="6" name="Chart 5">
          <a:extLst>
            <a:ext uri="{FF2B5EF4-FFF2-40B4-BE49-F238E27FC236}">
              <a16:creationId xmlns:a16="http://schemas.microsoft.com/office/drawing/2014/main" id="{C09B841F-A6FB-C239-2147-719E337B65F3}"/>
            </a:ext>
            <a:ext uri="{147F2762-F138-4A5C-976F-8EAC2B608ADB}">
              <a16:predDERef xmlns:a16="http://schemas.microsoft.com/office/drawing/2014/main" pred="{EFF3E5AC-E9C3-A5A5-E0B1-758AAE8C9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14</xdr:row>
      <xdr:rowOff>114300</xdr:rowOff>
    </xdr:from>
    <xdr:to>
      <xdr:col>15</xdr:col>
      <xdr:colOff>304800</xdr:colOff>
      <xdr:row>29</xdr:row>
      <xdr:rowOff>0</xdr:rowOff>
    </xdr:to>
    <xdr:graphicFrame macro="">
      <xdr:nvGraphicFramePr>
        <xdr:cNvPr id="7" name="Chart 6">
          <a:extLst>
            <a:ext uri="{FF2B5EF4-FFF2-40B4-BE49-F238E27FC236}">
              <a16:creationId xmlns:a16="http://schemas.microsoft.com/office/drawing/2014/main" id="{F0EE6047-CF3A-D71E-7D8D-95A43FDFDE15}"/>
            </a:ext>
            <a:ext uri="{147F2762-F138-4A5C-976F-8EAC2B608ADB}">
              <a16:predDERef xmlns:a16="http://schemas.microsoft.com/office/drawing/2014/main" pred="{C09B841F-A6FB-C239-2147-719E337B65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57150</xdr:rowOff>
    </xdr:from>
    <xdr:to>
      <xdr:col>7</xdr:col>
      <xdr:colOff>304800</xdr:colOff>
      <xdr:row>43</xdr:row>
      <xdr:rowOff>133350</xdr:rowOff>
    </xdr:to>
    <xdr:graphicFrame macro="">
      <xdr:nvGraphicFramePr>
        <xdr:cNvPr id="2" name="Chart 1">
          <a:extLst>
            <a:ext uri="{FF2B5EF4-FFF2-40B4-BE49-F238E27FC236}">
              <a16:creationId xmlns:a16="http://schemas.microsoft.com/office/drawing/2014/main" id="{DBEB2332-0AE4-4230-CB6A-6FC971F21D04}"/>
            </a:ext>
            <a:ext uri="{147F2762-F138-4A5C-976F-8EAC2B608ADB}">
              <a16:predDERef xmlns:a16="http://schemas.microsoft.com/office/drawing/2014/main" pred="{F0EE6047-CF3A-D71E-7D8D-95A43FDFDE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32.604729861108" createdVersion="8" refreshedVersion="8" minRefreshableVersion="3" recordCount="360" xr:uid="{AF62CAE9-224E-410F-AE6C-6238ACFC469C}">
  <cacheSource type="worksheet">
    <worksheetSource name="DraftData"/>
  </cacheSource>
  <cacheFields count="26">
    <cacheField name="Year" numFmtId="0">
      <sharedItems containsSemiMixedTypes="0" containsString="0" containsNumber="1" containsInteger="1" minValue="2005" maxValue="2016"/>
    </cacheField>
    <cacheField name="Pick" numFmtId="0">
      <sharedItems containsSemiMixedTypes="0" containsString="0" containsNumber="1" containsInteger="1" minValue="1" maxValue="30" count="30">
        <n v="1"/>
        <n v="2"/>
        <n v="3"/>
        <n v="4"/>
        <n v="5"/>
        <n v="6"/>
        <n v="7"/>
        <n v="8"/>
        <n v="9"/>
        <n v="10"/>
        <n v="11"/>
        <n v="12"/>
        <n v="13"/>
        <n v="14"/>
        <n v="15"/>
        <n v="16"/>
        <n v="17"/>
        <n v="18"/>
        <n v="19"/>
        <n v="20"/>
        <n v="21"/>
        <n v="22"/>
        <n v="23"/>
        <n v="24"/>
        <n v="25"/>
        <n v="26"/>
        <n v="27"/>
        <n v="28"/>
        <n v="29"/>
        <n v="30"/>
      </sharedItems>
    </cacheField>
    <cacheField name="Team" numFmtId="0">
      <sharedItems/>
    </cacheField>
    <cacheField name="Player" numFmtId="0">
      <sharedItems/>
    </cacheField>
    <cacheField name="College" numFmtId="0">
      <sharedItems containsBlank="1"/>
    </cacheField>
    <cacheField name="Games" numFmtId="0">
      <sharedItems containsString="0" containsBlank="1" containsNumber="1" containsInteger="1" minValue="3" maxValue="1148"/>
    </cacheField>
    <cacheField name="Minutes" numFmtId="0">
      <sharedItems containsString="0" containsBlank="1" containsNumber="1" containsInteger="1" minValue="9" maxValue="39673"/>
    </cacheField>
    <cacheField name="Points" numFmtId="0">
      <sharedItems containsString="0" containsBlank="1" containsNumber="1" containsInteger="1" minValue="0" maxValue="24936"/>
    </cacheField>
    <cacheField name="Rebounds" numFmtId="0">
      <sharedItems containsString="0" containsBlank="1" containsNumber="1" containsInteger="1" minValue="0" maxValue="9309"/>
    </cacheField>
    <cacheField name="Assists" numFmtId="0">
      <sharedItems containsString="0" containsBlank="1" containsNumber="1" containsInteger="1" minValue="0" maxValue="10894"/>
    </cacheField>
    <cacheField name="FG%" numFmtId="0">
      <sharedItems containsString="0" containsBlank="1" containsNumber="1" minValue="0" maxValue="0.66100000000000003"/>
    </cacheField>
    <cacheField name="3P%" numFmtId="0">
      <sharedItems containsString="0" containsBlank="1" containsNumber="1" minValue="0" maxValue="0.66700000000000004"/>
    </cacheField>
    <cacheField name="FT%" numFmtId="0">
      <sharedItems containsString="0" containsBlank="1" containsNumber="1" minValue="0.24" maxValue="0.90800000000000003"/>
    </cacheField>
    <cacheField name="Win Shares" numFmtId="0">
      <sharedItems containsString="0" containsBlank="1" containsNumber="1" minValue="-1.6" maxValue="198.2"/>
    </cacheField>
    <cacheField name="WS/48" numFmtId="0">
      <sharedItems containsString="0" containsBlank="1" containsNumber="1" minValue="-0.13200000000000001" maxValue="0.24"/>
    </cacheField>
    <cacheField name="BPM" numFmtId="0">
      <sharedItems containsString="0" containsBlank="1" containsNumber="1" minValue="-16.899999999999999" maxValue="7.3"/>
    </cacheField>
    <cacheField name="VORP" numFmtId="0">
      <sharedItems containsString="0" containsBlank="1" containsNumber="1" minValue="-4.5999999999999996" maxValue="93.2"/>
    </cacheField>
    <cacheField name="MPG" numFmtId="0">
      <sharedItems containsString="0" containsBlank="1" containsNumber="1" minValue="3" maxValue="36.700000000000003"/>
    </cacheField>
    <cacheField name="PPG" numFmtId="0">
      <sharedItems containsString="0" containsBlank="1" containsNumber="1" minValue="0" maxValue="27.1"/>
    </cacheField>
    <cacheField name="RPG" numFmtId="0">
      <sharedItems containsString="0" containsBlank="1" containsNumber="1" minValue="0" maxValue="13.4"/>
    </cacheField>
    <cacheField name="APG" numFmtId="0">
      <sharedItems containsString="0" containsBlank="1" containsNumber="1" minValue="0" maxValue="9.5"/>
    </cacheField>
    <cacheField name="Pick Range" numFmtId="0">
      <sharedItems count="4">
        <s v="Top 5"/>
        <s v="Lottery"/>
        <s v="Mid First"/>
        <s v="Late First"/>
      </sharedItems>
    </cacheField>
    <cacheField name="Career Tier" numFmtId="0">
      <sharedItems count="4">
        <s v="Starter"/>
        <s v="Star"/>
        <s v="Rotation"/>
        <s v="Minimal"/>
      </sharedItems>
    </cacheField>
    <cacheField name="Bust?" numFmtId="0">
      <sharedItems count="2">
        <s v="No"/>
        <s v="Yes"/>
      </sharedItems>
    </cacheField>
    <cacheField name="Pick Efficiency" numFmtId="2">
      <sharedItems containsSemiMixedTypes="0" containsString="0" containsNumber="1" minValue="-0.46666666666666662" maxValue="91.5"/>
    </cacheField>
    <cacheField name="Column1"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n v="2005"/>
    <x v="0"/>
    <s v="MIL"/>
    <s v="Andrew Bogut"/>
    <s v="Utah"/>
    <n v="706"/>
    <n v="19862"/>
    <n v="6808"/>
    <n v="6112"/>
    <n v="1546"/>
    <n v="0.53500000000000003"/>
    <n v="0.12"/>
    <n v="0.55700000000000005"/>
    <n v="50.6"/>
    <n v="0.122"/>
    <n v="1.2"/>
    <n v="16"/>
    <n v="28.1"/>
    <n v="9.6"/>
    <n v="8.6999999999999993"/>
    <n v="2.2000000000000002"/>
    <x v="0"/>
    <x v="0"/>
    <x v="0"/>
    <n v="50.6"/>
    <m/>
  </r>
  <r>
    <n v="2005"/>
    <x v="1"/>
    <s v="ATL"/>
    <s v="Marvin Williams"/>
    <s v="UNC"/>
    <n v="1072"/>
    <n v="30159"/>
    <n v="10965"/>
    <n v="5546"/>
    <n v="1373"/>
    <n v="0.443"/>
    <n v="0.36099999999999999"/>
    <n v="0.80800000000000005"/>
    <n v="65.099999999999994"/>
    <n v="0.104"/>
    <n v="-0.4"/>
    <n v="12.3"/>
    <n v="28.1"/>
    <n v="10.199999999999999"/>
    <n v="5.2"/>
    <n v="1.3"/>
    <x v="0"/>
    <x v="0"/>
    <x v="0"/>
    <n v="32.549999999999997"/>
    <m/>
  </r>
  <r>
    <n v="2005"/>
    <x v="2"/>
    <s v="UTA"/>
    <s v="Deron Williams"/>
    <s v="Illinois"/>
    <n v="845"/>
    <n v="28865"/>
    <n v="13804"/>
    <n v="2619"/>
    <n v="6819"/>
    <n v="0.44500000000000001"/>
    <n v="0.35699999999999998"/>
    <n v="0.82199999999999995"/>
    <n v="77.3"/>
    <n v="0.129"/>
    <n v="1.9"/>
    <n v="28.3"/>
    <n v="34.200000000000003"/>
    <n v="16.3"/>
    <n v="3.1"/>
    <n v="8.1"/>
    <x v="0"/>
    <x v="0"/>
    <x v="0"/>
    <n v="25.766666666666666"/>
    <m/>
  </r>
  <r>
    <n v="2005"/>
    <x v="3"/>
    <s v="NOP"/>
    <s v="Chris Paul"/>
    <s v="Wake Forest"/>
    <n v="1148"/>
    <n v="39673"/>
    <n v="20844"/>
    <n v="5182"/>
    <n v="10894"/>
    <n v="0.47299999999999998"/>
    <n v="0.37"/>
    <n v="0.872"/>
    <n v="198.2"/>
    <n v="0.24"/>
    <n v="7.3"/>
    <n v="93.2"/>
    <n v="34.6"/>
    <n v="18.2"/>
    <n v="4.5"/>
    <n v="9.5"/>
    <x v="0"/>
    <x v="1"/>
    <x v="0"/>
    <n v="49.55"/>
    <m/>
  </r>
  <r>
    <n v="2005"/>
    <x v="4"/>
    <s v="CHA"/>
    <s v="Raymond Felton"/>
    <s v="UNC"/>
    <n v="971"/>
    <n v="28829"/>
    <n v="10853"/>
    <n v="2867"/>
    <n v="5096"/>
    <n v="0.41199999999999998"/>
    <n v="0.32900000000000001"/>
    <n v="0.79"/>
    <n v="40.200000000000003"/>
    <n v="6.7000000000000004E-2"/>
    <n v="-0.6"/>
    <n v="10.1"/>
    <n v="29.7"/>
    <n v="11.2"/>
    <n v="3"/>
    <n v="5.2"/>
    <x v="0"/>
    <x v="0"/>
    <x v="0"/>
    <n v="8.0400000000000009"/>
    <m/>
  </r>
  <r>
    <n v="2005"/>
    <x v="5"/>
    <s v="POR"/>
    <s v="Martell Webster"/>
    <m/>
    <n v="580"/>
    <n v="13914"/>
    <n v="5056"/>
    <n v="1811"/>
    <n v="588"/>
    <n v="0.41799999999999998"/>
    <n v="0.38200000000000001"/>
    <n v="0.79100000000000004"/>
    <n v="24.7"/>
    <n v="8.5000000000000006E-2"/>
    <n v="-0.8"/>
    <n v="4.3"/>
    <n v="24"/>
    <n v="8.6999999999999993"/>
    <n v="3.1"/>
    <n v="1"/>
    <x v="1"/>
    <x v="2"/>
    <x v="0"/>
    <n v="4.1166666666666663"/>
    <m/>
  </r>
  <r>
    <n v="2005"/>
    <x v="6"/>
    <s v="TOR"/>
    <s v="Charlie Villanueva"/>
    <s v="UConn"/>
    <n v="656"/>
    <n v="13578"/>
    <n v="6808"/>
    <n v="3019"/>
    <n v="549"/>
    <n v="0.435"/>
    <n v="0.34100000000000003"/>
    <n v="0.77200000000000002"/>
    <n v="22.6"/>
    <n v="0.08"/>
    <n v="-0.6"/>
    <n v="4.7"/>
    <n v="20.7"/>
    <n v="10.4"/>
    <n v="4.5999999999999996"/>
    <n v="0.8"/>
    <x v="1"/>
    <x v="2"/>
    <x v="0"/>
    <n v="3.2285714285714286"/>
    <m/>
  </r>
  <r>
    <n v="2005"/>
    <x v="7"/>
    <s v="NYK"/>
    <s v="Channing Frye"/>
    <s v="Arizona"/>
    <n v="890"/>
    <n v="19772"/>
    <n v="7786"/>
    <n v="4002"/>
    <n v="864"/>
    <n v="0.44"/>
    <n v="0.38800000000000001"/>
    <n v="0.82199999999999995"/>
    <n v="38.9"/>
    <n v="9.4E-2"/>
    <n v="-0.4"/>
    <n v="8"/>
    <n v="22.2"/>
    <n v="8.6999999999999993"/>
    <n v="4.5"/>
    <n v="1"/>
    <x v="1"/>
    <x v="0"/>
    <x v="0"/>
    <n v="4.8624999999999998"/>
    <m/>
  </r>
  <r>
    <n v="2005"/>
    <x v="8"/>
    <s v="GSW"/>
    <s v="Ike Diogu"/>
    <s v="Arizona State"/>
    <n v="225"/>
    <n v="2795"/>
    <n v="1348"/>
    <n v="689"/>
    <n v="69"/>
    <n v="0.50900000000000001"/>
    <n v="0.5"/>
    <n v="0.78600000000000003"/>
    <n v="6.5"/>
    <n v="0.112"/>
    <n v="-3"/>
    <n v="-0.7"/>
    <n v="12.4"/>
    <n v="6"/>
    <n v="3.1"/>
    <n v="0.3"/>
    <x v="1"/>
    <x v="3"/>
    <x v="1"/>
    <n v="0.72222222222222221"/>
    <m/>
  </r>
  <r>
    <n v="2005"/>
    <x v="9"/>
    <s v="LAL"/>
    <s v="Andrew Bynum"/>
    <m/>
    <n v="418"/>
    <n v="10690"/>
    <n v="4822"/>
    <n v="3221"/>
    <n v="490"/>
    <n v="0.55600000000000005"/>
    <n v="0.111"/>
    <n v="0.69"/>
    <n v="37.4"/>
    <n v="0.16800000000000001"/>
    <n v="1.4"/>
    <n v="9.1"/>
    <n v="25.6"/>
    <n v="11.5"/>
    <n v="7.7"/>
    <n v="1.2"/>
    <x v="1"/>
    <x v="0"/>
    <x v="0"/>
    <n v="3.7399999999999998"/>
    <m/>
  </r>
  <r>
    <n v="2005"/>
    <x v="10"/>
    <s v="ORL"/>
    <s v="Fran Vázquez"/>
    <m/>
    <m/>
    <m/>
    <m/>
    <m/>
    <m/>
    <m/>
    <m/>
    <m/>
    <m/>
    <m/>
    <m/>
    <m/>
    <m/>
    <m/>
    <m/>
    <m/>
    <x v="1"/>
    <x v="3"/>
    <x v="1"/>
    <n v="0"/>
    <m/>
  </r>
  <r>
    <n v="2005"/>
    <x v="11"/>
    <s v="LAC"/>
    <s v="Yaroslav Korolev"/>
    <m/>
    <n v="34"/>
    <n v="168"/>
    <n v="39"/>
    <n v="16"/>
    <n v="13"/>
    <n v="0.28299999999999997"/>
    <n v="0.25"/>
    <n v="0.625"/>
    <n v="-0.1"/>
    <n v="-2.4E-2"/>
    <n v="-5.2"/>
    <n v="-0.1"/>
    <n v="4.9000000000000004"/>
    <n v="1.1000000000000001"/>
    <n v="0.5"/>
    <n v="0.4"/>
    <x v="1"/>
    <x v="3"/>
    <x v="1"/>
    <n v="-8.3333333333333332E-3"/>
    <m/>
  </r>
  <r>
    <n v="2005"/>
    <x v="12"/>
    <s v="CHA"/>
    <s v="Sean May"/>
    <s v="UNC"/>
    <n v="119"/>
    <n v="1868"/>
    <n v="821"/>
    <n v="481"/>
    <n v="115"/>
    <n v="0.45800000000000002"/>
    <n v="0.23100000000000001"/>
    <n v="0.746"/>
    <n v="2.6"/>
    <n v="6.8000000000000005E-2"/>
    <n v="-1.7"/>
    <n v="0.2"/>
    <n v="15.7"/>
    <n v="6.9"/>
    <n v="4"/>
    <n v="1"/>
    <x v="1"/>
    <x v="3"/>
    <x v="1"/>
    <n v="0.2"/>
    <m/>
  </r>
  <r>
    <n v="2005"/>
    <x v="13"/>
    <s v="MIN"/>
    <s v="Rashad McCants"/>
    <s v="UNC"/>
    <n v="249"/>
    <n v="5037"/>
    <n v="2479"/>
    <n v="506"/>
    <n v="331"/>
    <n v="0.43099999999999999"/>
    <n v="0.36799999999999999"/>
    <n v="0.74099999999999999"/>
    <n v="3.6"/>
    <n v="3.5000000000000003E-2"/>
    <n v="-1.7"/>
    <n v="0.4"/>
    <n v="20.2"/>
    <n v="10"/>
    <n v="2"/>
    <n v="1.3"/>
    <x v="1"/>
    <x v="3"/>
    <x v="1"/>
    <n v="0.25714285714285717"/>
    <m/>
  </r>
  <r>
    <n v="2005"/>
    <x v="14"/>
    <s v="BRK"/>
    <s v="Antoine Wright"/>
    <s v="Texas A&amp;M"/>
    <n v="297"/>
    <n v="5714"/>
    <n v="1614"/>
    <n v="681"/>
    <n v="295"/>
    <n v="0.41199999999999998"/>
    <n v="0.30399999999999999"/>
    <n v="0.67400000000000004"/>
    <n v="3.1"/>
    <n v="2.5999999999999999E-2"/>
    <n v="-3.7"/>
    <n v="-2.4"/>
    <n v="19.2"/>
    <n v="5.4"/>
    <n v="2.2999999999999998"/>
    <n v="1"/>
    <x v="2"/>
    <x v="3"/>
    <x v="0"/>
    <n v="0.20666666666666667"/>
    <m/>
  </r>
  <r>
    <n v="2005"/>
    <x v="15"/>
    <s v="TOR"/>
    <s v="Joey Graham"/>
    <s v="Oklahoma State"/>
    <n v="377"/>
    <n v="6117"/>
    <n v="2239"/>
    <n v="1058"/>
    <n v="207"/>
    <n v="0.48299999999999998"/>
    <n v="0.3"/>
    <n v="0.81499999999999995"/>
    <n v="7.8"/>
    <n v="6.0999999999999999E-2"/>
    <n v="-3.6"/>
    <n v="-2.4"/>
    <n v="16.2"/>
    <n v="5.9"/>
    <n v="2.8"/>
    <n v="0.5"/>
    <x v="2"/>
    <x v="3"/>
    <x v="0"/>
    <n v="0.48749999999999999"/>
    <m/>
  </r>
  <r>
    <n v="2005"/>
    <x v="16"/>
    <s v="IND"/>
    <s v="Danny Granger"/>
    <s v="New Mexico"/>
    <n v="586"/>
    <n v="18487"/>
    <n v="9855"/>
    <n v="2888"/>
    <n v="1097"/>
    <n v="0.434"/>
    <n v="0.38"/>
    <n v="0.84799999999999998"/>
    <n v="48.5"/>
    <n v="0.126"/>
    <n v="1.8"/>
    <n v="17.7"/>
    <n v="31.5"/>
    <n v="16.8"/>
    <n v="4.9000000000000004"/>
    <n v="1.9"/>
    <x v="2"/>
    <x v="0"/>
    <x v="0"/>
    <n v="2.8529411764705883"/>
    <m/>
  </r>
  <r>
    <n v="2005"/>
    <x v="17"/>
    <s v="BOS"/>
    <s v="Gerald Green"/>
    <m/>
    <n v="658"/>
    <n v="13026"/>
    <n v="6412"/>
    <n v="1639"/>
    <n v="596"/>
    <n v="0.41699999999999998"/>
    <n v="0.36099999999999999"/>
    <n v="0.81799999999999995"/>
    <n v="18.399999999999999"/>
    <n v="6.8000000000000005E-2"/>
    <n v="-1.3"/>
    <n v="2.4"/>
    <n v="19.8"/>
    <n v="9.6999999999999993"/>
    <n v="2.5"/>
    <n v="0.9"/>
    <x v="2"/>
    <x v="2"/>
    <x v="0"/>
    <n v="1.0222222222222221"/>
    <m/>
  </r>
  <r>
    <n v="2005"/>
    <x v="18"/>
    <s v="MEM"/>
    <s v="Hakim Warrick"/>
    <s v="Syracuse"/>
    <n v="526"/>
    <n v="10624"/>
    <n v="4947"/>
    <n v="2117"/>
    <n v="400"/>
    <n v="0.49"/>
    <n v="0.191"/>
    <n v="0.72599999999999998"/>
    <n v="20.399999999999999"/>
    <n v="9.1999999999999998E-2"/>
    <n v="-1.9"/>
    <n v="0.4"/>
    <n v="20.2"/>
    <n v="9.4"/>
    <n v="4"/>
    <n v="0.8"/>
    <x v="2"/>
    <x v="2"/>
    <x v="0"/>
    <n v="1.0736842105263158"/>
    <m/>
  </r>
  <r>
    <n v="2005"/>
    <x v="19"/>
    <s v="DEN"/>
    <s v="Julius Hodge"/>
    <s v="NC State"/>
    <n v="23"/>
    <n v="98"/>
    <n v="28"/>
    <n v="15"/>
    <n v="18"/>
    <n v="0.44"/>
    <m/>
    <n v="0.5"/>
    <n v="0"/>
    <n v="3.0000000000000001E-3"/>
    <n v="-3.7"/>
    <n v="0"/>
    <n v="4.3"/>
    <n v="1.2"/>
    <n v="0.7"/>
    <n v="0.8"/>
    <x v="2"/>
    <x v="3"/>
    <x v="0"/>
    <n v="0"/>
    <m/>
  </r>
  <r>
    <n v="2005"/>
    <x v="20"/>
    <s v="PHO"/>
    <s v="Nate Robinson"/>
    <s v="Washington"/>
    <n v="618"/>
    <n v="13878"/>
    <n v="6807"/>
    <n v="1446"/>
    <n v="1826"/>
    <n v="0.42299999999999999"/>
    <n v="0.36"/>
    <n v="0.79600000000000004"/>
    <n v="27.8"/>
    <n v="9.6000000000000002E-2"/>
    <n v="0.5"/>
    <n v="8.6"/>
    <n v="22.5"/>
    <n v="11"/>
    <n v="2.2999999999999998"/>
    <n v="3"/>
    <x v="3"/>
    <x v="2"/>
    <x v="0"/>
    <n v="1.3238095238095238"/>
    <m/>
  </r>
  <r>
    <n v="2005"/>
    <x v="21"/>
    <s v="DEN"/>
    <s v="Jarrett Jack"/>
    <s v="Georgia Tech"/>
    <n v="867"/>
    <n v="24140"/>
    <n v="9349"/>
    <n v="2487"/>
    <n v="3952"/>
    <n v="0.44"/>
    <n v="0.34300000000000003"/>
    <n v="0.85499999999999998"/>
    <n v="36.799999999999997"/>
    <n v="7.2999999999999995E-2"/>
    <n v="-0.9"/>
    <n v="6.5"/>
    <n v="27.8"/>
    <n v="10.8"/>
    <n v="2.9"/>
    <n v="4.5999999999999996"/>
    <x v="3"/>
    <x v="0"/>
    <x v="0"/>
    <n v="1.6727272727272726"/>
    <m/>
  </r>
  <r>
    <n v="2005"/>
    <x v="22"/>
    <s v="SAC"/>
    <s v="Francisco García"/>
    <s v="Louisville"/>
    <n v="549"/>
    <n v="11853"/>
    <n v="4323"/>
    <n v="1400"/>
    <n v="747"/>
    <n v="0.42699999999999999"/>
    <n v="0.35699999999999998"/>
    <n v="0.79900000000000004"/>
    <n v="18.2"/>
    <n v="7.3999999999999996E-2"/>
    <n v="-0.1"/>
    <n v="5.7"/>
    <n v="21.6"/>
    <n v="7.9"/>
    <n v="2.6"/>
    <n v="1.4"/>
    <x v="3"/>
    <x v="2"/>
    <x v="0"/>
    <n v="0.79130434782608694"/>
    <m/>
  </r>
  <r>
    <n v="2005"/>
    <x v="23"/>
    <s v="HOU"/>
    <s v="Luther Head"/>
    <s v="Illinois"/>
    <n v="348"/>
    <n v="7797"/>
    <n v="2842"/>
    <n v="845"/>
    <n v="747"/>
    <n v="0.42299999999999999"/>
    <n v="0.38800000000000001"/>
    <n v="0.77300000000000002"/>
    <n v="14.7"/>
    <n v="0.09"/>
    <n v="0.1"/>
    <n v="4.2"/>
    <n v="22.4"/>
    <n v="8.1999999999999993"/>
    <n v="2.4"/>
    <n v="2.1"/>
    <x v="3"/>
    <x v="2"/>
    <x v="0"/>
    <n v="0.61249999999999993"/>
    <m/>
  </r>
  <r>
    <n v="2005"/>
    <x v="24"/>
    <s v="OKC"/>
    <s v="Johan Petro"/>
    <m/>
    <n v="473"/>
    <n v="7262"/>
    <n v="2202"/>
    <n v="1836"/>
    <n v="227"/>
    <n v="0.46200000000000002"/>
    <n v="0.154"/>
    <n v="0.67800000000000005"/>
    <n v="5.5"/>
    <n v="3.6999999999999998E-2"/>
    <n v="-4.5999999999999996"/>
    <n v="-4.5999999999999996"/>
    <n v="15.4"/>
    <n v="4.7"/>
    <n v="3.9"/>
    <n v="0.5"/>
    <x v="3"/>
    <x v="3"/>
    <x v="0"/>
    <n v="0.22"/>
    <m/>
  </r>
  <r>
    <n v="2005"/>
    <x v="25"/>
    <s v="DET"/>
    <s v="Jason Maxiell"/>
    <s v="Cincinnati"/>
    <n v="618"/>
    <n v="11379"/>
    <n v="3481"/>
    <n v="2576"/>
    <n v="266"/>
    <n v="0.495"/>
    <n v="0"/>
    <n v="0.56399999999999995"/>
    <n v="20.3"/>
    <n v="8.5999999999999993E-2"/>
    <n v="-2.5"/>
    <n v="-1.4"/>
    <n v="18.399999999999999"/>
    <n v="5.6"/>
    <n v="4.2"/>
    <n v="0.4"/>
    <x v="3"/>
    <x v="2"/>
    <x v="0"/>
    <n v="0.78076923076923077"/>
    <m/>
  </r>
  <r>
    <n v="2005"/>
    <x v="26"/>
    <s v="POR"/>
    <s v="Linas Kleiza"/>
    <s v="Missouri"/>
    <n v="409"/>
    <n v="8185"/>
    <n v="3561"/>
    <n v="1470"/>
    <n v="321"/>
    <n v="0.435"/>
    <n v="0.33500000000000002"/>
    <n v="0.76300000000000001"/>
    <n v="13.6"/>
    <n v="0.08"/>
    <n v="-2.2999999999999998"/>
    <n v="-0.7"/>
    <n v="20"/>
    <n v="8.6999999999999993"/>
    <n v="3.6"/>
    <n v="0.8"/>
    <x v="3"/>
    <x v="2"/>
    <x v="0"/>
    <n v="0.50370370370370365"/>
    <m/>
  </r>
  <r>
    <n v="2005"/>
    <x v="27"/>
    <s v="SAS"/>
    <s v="Ian Mahinmi"/>
    <m/>
    <n v="618"/>
    <n v="10353"/>
    <n v="3209"/>
    <n v="2705"/>
    <n v="357"/>
    <n v="0.53300000000000003"/>
    <n v="0.16"/>
    <n v="0.61199999999999999"/>
    <n v="26.1"/>
    <n v="0.121"/>
    <n v="-2"/>
    <n v="0.1"/>
    <n v="16.8"/>
    <n v="5.2"/>
    <n v="4.4000000000000004"/>
    <n v="0.6"/>
    <x v="3"/>
    <x v="2"/>
    <x v="0"/>
    <n v="0.93214285714285716"/>
    <m/>
  </r>
  <r>
    <n v="2005"/>
    <x v="28"/>
    <s v="MIA"/>
    <s v="Wayne Simien"/>
    <s v="Kansas"/>
    <n v="51"/>
    <n v="507"/>
    <n v="169"/>
    <n v="99"/>
    <n v="11"/>
    <n v="0.46899999999999997"/>
    <m/>
    <n v="0.85399999999999998"/>
    <n v="0.9"/>
    <n v="8.3000000000000004E-2"/>
    <n v="-4.4000000000000004"/>
    <n v="-0.3"/>
    <n v="9.9"/>
    <n v="3.3"/>
    <n v="1.9"/>
    <n v="0.2"/>
    <x v="3"/>
    <x v="3"/>
    <x v="0"/>
    <n v="3.1034482758620689E-2"/>
    <m/>
  </r>
  <r>
    <n v="2005"/>
    <x v="29"/>
    <s v="NYK"/>
    <s v="David Lee"/>
    <s v="Florida"/>
    <n v="829"/>
    <n v="24293"/>
    <n v="11232"/>
    <n v="7320"/>
    <n v="1825"/>
    <n v="0.53500000000000003"/>
    <n v="3.4000000000000002E-2"/>
    <n v="0.77200000000000002"/>
    <n v="76"/>
    <n v="0.15"/>
    <n v="1.1000000000000001"/>
    <n v="19.2"/>
    <n v="29.3"/>
    <n v="13.5"/>
    <n v="8.8000000000000007"/>
    <n v="2.2000000000000002"/>
    <x v="3"/>
    <x v="0"/>
    <x v="0"/>
    <n v="2.5333333333333332"/>
    <m/>
  </r>
  <r>
    <n v="2006"/>
    <x v="0"/>
    <s v="TOR"/>
    <s v="Andrea Bargnani"/>
    <m/>
    <n v="550"/>
    <n v="15806"/>
    <n v="7873"/>
    <n v="2541"/>
    <n v="653"/>
    <n v="0.439"/>
    <n v="0.35399999999999998"/>
    <n v="0.82399999999999995"/>
    <n v="18.899999999999999"/>
    <n v="5.7000000000000002E-2"/>
    <n v="-1.6"/>
    <n v="1.5"/>
    <n v="28.7"/>
    <n v="14.3"/>
    <n v="4.5999999999999996"/>
    <n v="1.2"/>
    <x v="0"/>
    <x v="2"/>
    <x v="0"/>
    <n v="18.899999999999999"/>
    <m/>
  </r>
  <r>
    <n v="2006"/>
    <x v="1"/>
    <s v="CHI"/>
    <s v="LaMarcus Aldridge"/>
    <s v="Texas"/>
    <n v="1068"/>
    <n v="36086"/>
    <n v="20488"/>
    <n v="8702"/>
    <n v="2067"/>
    <n v="0.49299999999999999"/>
    <n v="0.32"/>
    <n v="0.81200000000000006"/>
    <n v="115.3"/>
    <n v="0.153"/>
    <n v="1.7"/>
    <n v="33.299999999999997"/>
    <n v="33.799999999999997"/>
    <n v="19.2"/>
    <n v="8.1"/>
    <n v="1.9"/>
    <x v="0"/>
    <x v="1"/>
    <x v="0"/>
    <n v="57.65"/>
    <m/>
  </r>
  <r>
    <n v="2006"/>
    <x v="2"/>
    <s v="CHA"/>
    <s v="Adam Morrison"/>
    <s v="Gonzaga"/>
    <n v="161"/>
    <n v="3278"/>
    <n v="1200"/>
    <n v="342"/>
    <n v="222"/>
    <n v="0.373"/>
    <n v="0.33100000000000002"/>
    <n v="0.71"/>
    <n v="-1.4"/>
    <n v="-2.1000000000000001E-2"/>
    <n v="-5"/>
    <n v="-2.4"/>
    <n v="20.399999999999999"/>
    <n v="7.5"/>
    <n v="2.1"/>
    <n v="1.4"/>
    <x v="0"/>
    <x v="3"/>
    <x v="1"/>
    <n v="-0.46666666666666662"/>
    <m/>
  </r>
  <r>
    <n v="2006"/>
    <x v="3"/>
    <s v="POR"/>
    <s v="Tyrus Thomas"/>
    <s v="LSU"/>
    <n v="402"/>
    <n v="7932"/>
    <n v="3093"/>
    <n v="1938"/>
    <n v="347"/>
    <n v="0.438"/>
    <n v="0.23499999999999999"/>
    <n v="0.73199999999999998"/>
    <n v="13"/>
    <n v="7.8E-2"/>
    <n v="-1.2"/>
    <n v="1.7"/>
    <n v="19.7"/>
    <n v="7.7"/>
    <n v="4.8"/>
    <n v="0.9"/>
    <x v="0"/>
    <x v="2"/>
    <x v="0"/>
    <n v="3.25"/>
    <m/>
  </r>
  <r>
    <n v="2006"/>
    <x v="4"/>
    <s v="ATL"/>
    <s v="Shelden Williams"/>
    <s v="Duke"/>
    <n v="361"/>
    <n v="5586"/>
    <n v="1618"/>
    <n v="1562"/>
    <n v="163"/>
    <n v="0.46200000000000002"/>
    <n v="0.222"/>
    <n v="0.74"/>
    <n v="9.9"/>
    <n v="8.5000000000000006E-2"/>
    <n v="-3"/>
    <n v="-1.5"/>
    <n v="15.5"/>
    <n v="4.5"/>
    <n v="4.3"/>
    <n v="0.5"/>
    <x v="0"/>
    <x v="3"/>
    <x v="1"/>
    <n v="1.98"/>
    <m/>
  </r>
  <r>
    <n v="2006"/>
    <x v="5"/>
    <s v="MIN"/>
    <s v="Brandon Roy"/>
    <s v="Washington"/>
    <n v="326"/>
    <n v="11561"/>
    <n v="6136"/>
    <n v="1388"/>
    <n v="1517"/>
    <n v="0.45900000000000002"/>
    <n v="0.34799999999999998"/>
    <n v="0.8"/>
    <n v="37.4"/>
    <n v="0.155"/>
    <n v="3.6"/>
    <n v="16.3"/>
    <n v="35.5"/>
    <n v="18.8"/>
    <n v="4.3"/>
    <n v="4.7"/>
    <x v="1"/>
    <x v="0"/>
    <x v="0"/>
    <n v="6.2333333333333334"/>
    <m/>
  </r>
  <r>
    <n v="2006"/>
    <x v="6"/>
    <s v="BOS"/>
    <s v="Randy Foye"/>
    <s v="Villanova"/>
    <n v="752"/>
    <n v="19279"/>
    <n v="7729"/>
    <n v="1686"/>
    <n v="2112"/>
    <n v="0.40100000000000002"/>
    <n v="0.36599999999999999"/>
    <n v="0.85199999999999998"/>
    <n v="23.5"/>
    <n v="5.8000000000000003E-2"/>
    <n v="-1.2"/>
    <n v="3.8"/>
    <n v="25.6"/>
    <n v="10.3"/>
    <n v="2.2000000000000002"/>
    <n v="2.8"/>
    <x v="1"/>
    <x v="2"/>
    <x v="0"/>
    <n v="3.3571428571428572"/>
    <m/>
  </r>
  <r>
    <n v="2006"/>
    <x v="7"/>
    <s v="HOU"/>
    <s v="Rudy Gay"/>
    <s v="UConn"/>
    <n v="1044"/>
    <n v="33406"/>
    <n v="17215"/>
    <n v="6040"/>
    <n v="2206"/>
    <n v="0.45300000000000001"/>
    <n v="0.34899999999999998"/>
    <n v="0.79900000000000004"/>
    <n v="60.3"/>
    <n v="8.6999999999999994E-2"/>
    <n v="0.7"/>
    <n v="22.9"/>
    <n v="32"/>
    <n v="16.5"/>
    <n v="5.8"/>
    <n v="2.1"/>
    <x v="1"/>
    <x v="0"/>
    <x v="0"/>
    <n v="7.5374999999999996"/>
    <m/>
  </r>
  <r>
    <n v="2006"/>
    <x v="8"/>
    <s v="GSW"/>
    <s v="Patrick O'Bryant"/>
    <s v="Bradley"/>
    <n v="90"/>
    <n v="524"/>
    <n v="186"/>
    <n v="127"/>
    <n v="25"/>
    <n v="0.49399999999999999"/>
    <n v="0"/>
    <n v="0.58299999999999996"/>
    <n v="0.5"/>
    <n v="4.5999999999999999E-2"/>
    <n v="-4.5999999999999996"/>
    <n v="-0.3"/>
    <n v="5.8"/>
    <n v="2.1"/>
    <n v="1.4"/>
    <n v="0.3"/>
    <x v="1"/>
    <x v="3"/>
    <x v="1"/>
    <n v="5.5555555555555552E-2"/>
    <m/>
  </r>
  <r>
    <n v="2006"/>
    <x v="9"/>
    <s v="OKC"/>
    <s v="Mouhamed Sene"/>
    <m/>
    <n v="47"/>
    <n v="260"/>
    <n v="103"/>
    <n v="75"/>
    <n v="1"/>
    <n v="0.42699999999999999"/>
    <m/>
    <n v="0.58899999999999997"/>
    <n v="0.3"/>
    <n v="5.1999999999999998E-2"/>
    <n v="-5.0999999999999996"/>
    <n v="-0.2"/>
    <n v="5.5"/>
    <n v="2.2000000000000002"/>
    <n v="1.6"/>
    <n v="0"/>
    <x v="1"/>
    <x v="3"/>
    <x v="1"/>
    <n v="0.03"/>
    <m/>
  </r>
  <r>
    <n v="2006"/>
    <x v="10"/>
    <s v="ORL"/>
    <s v="J.J. Redick"/>
    <s v="Duke"/>
    <n v="940"/>
    <n v="23964"/>
    <n v="12028"/>
    <n v="1903"/>
    <n v="1862"/>
    <n v="0.44700000000000001"/>
    <n v="0.41499999999999998"/>
    <n v="0.89200000000000002"/>
    <n v="63.7"/>
    <n v="0.128"/>
    <n v="0.6"/>
    <n v="16"/>
    <n v="25.5"/>
    <n v="12.8"/>
    <n v="2"/>
    <n v="2"/>
    <x v="1"/>
    <x v="0"/>
    <x v="0"/>
    <n v="5.790909090909091"/>
    <m/>
  </r>
  <r>
    <n v="2006"/>
    <x v="11"/>
    <s v="CHA"/>
    <s v="Hilton Armstrong"/>
    <s v="UConn"/>
    <n v="292"/>
    <n v="3378"/>
    <n v="880"/>
    <n v="766"/>
    <n v="102"/>
    <n v="0.501"/>
    <n v="0.28599999999999998"/>
    <n v="0.58199999999999996"/>
    <n v="3.9"/>
    <n v="5.5E-2"/>
    <n v="-4.0999999999999996"/>
    <n v="-1.8"/>
    <n v="11.6"/>
    <n v="3"/>
    <n v="2.6"/>
    <n v="0.3"/>
    <x v="1"/>
    <x v="3"/>
    <x v="1"/>
    <n v="0.32500000000000001"/>
    <m/>
  </r>
  <r>
    <n v="2006"/>
    <x v="12"/>
    <s v="PHI"/>
    <s v="Thabo Sefolosha"/>
    <m/>
    <n v="869"/>
    <n v="19062"/>
    <n v="4994"/>
    <n v="3252"/>
    <n v="1196"/>
    <n v="0.44900000000000001"/>
    <n v="0.34899999999999998"/>
    <n v="0.73199999999999998"/>
    <n v="39.299999999999997"/>
    <n v="9.9000000000000005E-2"/>
    <n v="0.6"/>
    <n v="12.4"/>
    <n v="21.9"/>
    <n v="5.7"/>
    <n v="3.7"/>
    <n v="1.4"/>
    <x v="1"/>
    <x v="0"/>
    <x v="0"/>
    <n v="3.023076923076923"/>
    <m/>
  </r>
  <r>
    <n v="2006"/>
    <x v="13"/>
    <s v="UTA"/>
    <s v="Ronnie Brewer"/>
    <s v="Arkansas"/>
    <n v="502"/>
    <n v="11539"/>
    <n v="3940"/>
    <n v="1427"/>
    <n v="828"/>
    <n v="0.49"/>
    <n v="0.254"/>
    <n v="0.67500000000000004"/>
    <n v="30.4"/>
    <n v="0.127"/>
    <n v="1.6"/>
    <n v="10.6"/>
    <n v="23"/>
    <n v="7.8"/>
    <n v="2.8"/>
    <n v="1.6"/>
    <x v="1"/>
    <x v="0"/>
    <x v="0"/>
    <n v="2.1714285714285713"/>
    <m/>
  </r>
  <r>
    <n v="2006"/>
    <x v="14"/>
    <s v="CHA"/>
    <s v="Cedric Simmons"/>
    <s v="NC State"/>
    <n v="75"/>
    <n v="705"/>
    <n v="163"/>
    <n v="141"/>
    <n v="14"/>
    <n v="0.40899999999999997"/>
    <m/>
    <n v="0.39"/>
    <n v="0.1"/>
    <n v="5.0000000000000001E-3"/>
    <n v="-5"/>
    <n v="-0.5"/>
    <n v="9.4"/>
    <n v="2.2000000000000002"/>
    <n v="1.9"/>
    <n v="0.2"/>
    <x v="2"/>
    <x v="3"/>
    <x v="0"/>
    <n v="6.6666666666666671E-3"/>
    <m/>
  </r>
  <r>
    <n v="2006"/>
    <x v="15"/>
    <s v="CHI"/>
    <s v="Rodney Carney"/>
    <s v="Memphis"/>
    <n v="299"/>
    <n v="4600"/>
    <n v="1778"/>
    <n v="588"/>
    <n v="132"/>
    <n v="0.42199999999999999"/>
    <n v="0.33800000000000002"/>
    <n v="0.70399999999999996"/>
    <n v="6.2"/>
    <n v="6.4000000000000001E-2"/>
    <n v="-1.6"/>
    <n v="0.5"/>
    <n v="15.4"/>
    <n v="5.9"/>
    <n v="2"/>
    <n v="0.4"/>
    <x v="2"/>
    <x v="3"/>
    <x v="0"/>
    <n v="0.38750000000000001"/>
    <m/>
  </r>
  <r>
    <n v="2006"/>
    <x v="16"/>
    <s v="IND"/>
    <s v="Shawne Williams"/>
    <s v="Memphis"/>
    <n v="314"/>
    <n v="5368"/>
    <n v="1769"/>
    <n v="945"/>
    <n v="220"/>
    <n v="0.40300000000000002"/>
    <n v="0.33900000000000002"/>
    <n v="0.755"/>
    <n v="6.7"/>
    <n v="0.06"/>
    <n v="-2.2000000000000002"/>
    <n v="-0.3"/>
    <n v="17.100000000000001"/>
    <n v="5.6"/>
    <n v="3"/>
    <n v="0.7"/>
    <x v="2"/>
    <x v="3"/>
    <x v="0"/>
    <n v="0.39411764705882352"/>
    <m/>
  </r>
  <r>
    <n v="2006"/>
    <x v="17"/>
    <s v="WAS"/>
    <s v="Oleksiy Pecherov"/>
    <m/>
    <n v="111"/>
    <n v="1044"/>
    <n v="438"/>
    <n v="266"/>
    <n v="20"/>
    <n v="0.38600000000000001"/>
    <n v="0.28999999999999998"/>
    <n v="0.79300000000000004"/>
    <n v="0.5"/>
    <n v="2.5000000000000001E-2"/>
    <n v="-4.8"/>
    <n v="-0.7"/>
    <n v="9.4"/>
    <n v="3.9"/>
    <n v="2.4"/>
    <n v="0.2"/>
    <x v="2"/>
    <x v="3"/>
    <x v="0"/>
    <n v="2.7777777777777776E-2"/>
    <m/>
  </r>
  <r>
    <n v="2006"/>
    <x v="18"/>
    <s v="SAC"/>
    <s v="Quincy Douby"/>
    <s v="Rutgers University"/>
    <n v="143"/>
    <n v="1535"/>
    <n v="588"/>
    <n v="152"/>
    <n v="93"/>
    <n v="0.38900000000000001"/>
    <n v="0.312"/>
    <n v="0.88400000000000001"/>
    <n v="0"/>
    <n v="0"/>
    <n v="-3.5"/>
    <n v="-0.6"/>
    <n v="10.7"/>
    <n v="4.0999999999999996"/>
    <n v="1.1000000000000001"/>
    <n v="0.7"/>
    <x v="2"/>
    <x v="3"/>
    <x v="0"/>
    <n v="0"/>
    <m/>
  </r>
  <r>
    <n v="2006"/>
    <x v="19"/>
    <s v="NYK"/>
    <s v="Renaldo Balkman"/>
    <s v="South Carolina"/>
    <n v="221"/>
    <n v="3064"/>
    <n v="894"/>
    <n v="769"/>
    <n v="132"/>
    <n v="0.51"/>
    <n v="0.17199999999999999"/>
    <n v="0.54200000000000004"/>
    <n v="7.2"/>
    <n v="0.113"/>
    <n v="0.1"/>
    <n v="1.6"/>
    <n v="13.9"/>
    <n v="4"/>
    <n v="3.5"/>
    <n v="0.6"/>
    <x v="2"/>
    <x v="3"/>
    <x v="0"/>
    <n v="0.36"/>
    <m/>
  </r>
  <r>
    <n v="2006"/>
    <x v="20"/>
    <s v="PHO"/>
    <s v="Rajon Rondo"/>
    <s v="Kentucky"/>
    <n v="949"/>
    <n v="28440"/>
    <n v="9299"/>
    <n v="4335"/>
    <n v="7542"/>
    <n v="0.45600000000000002"/>
    <n v="0.32300000000000001"/>
    <n v="0.61199999999999999"/>
    <n v="61.5"/>
    <n v="0.104"/>
    <n v="1.2"/>
    <n v="23.2"/>
    <n v="30"/>
    <n v="9.8000000000000007"/>
    <n v="4.5999999999999996"/>
    <n v="7.9"/>
    <x v="3"/>
    <x v="0"/>
    <x v="0"/>
    <n v="2.9285714285714284"/>
    <m/>
  </r>
  <r>
    <n v="2006"/>
    <x v="21"/>
    <s v="BRK"/>
    <s v="Marcus Williams"/>
    <s v="UConn"/>
    <n v="203"/>
    <n v="3095"/>
    <n v="1128"/>
    <n v="361"/>
    <n v="574"/>
    <n v="0.38600000000000001"/>
    <n v="0.32100000000000001"/>
    <n v="0.76700000000000002"/>
    <n v="0"/>
    <n v="-1E-3"/>
    <n v="-3.3"/>
    <n v="-1"/>
    <n v="15.2"/>
    <n v="5.6"/>
    <n v="1.8"/>
    <n v="2.8"/>
    <x v="3"/>
    <x v="3"/>
    <x v="0"/>
    <n v="0"/>
    <m/>
  </r>
  <r>
    <n v="2006"/>
    <x v="22"/>
    <s v="BRK"/>
    <s v="Josh Boone"/>
    <s v="UConn"/>
    <n v="256"/>
    <n v="4482"/>
    <n v="1340"/>
    <n v="1258"/>
    <n v="125"/>
    <n v="0.54400000000000004"/>
    <m/>
    <n v="0.44500000000000001"/>
    <n v="9.1"/>
    <n v="9.7000000000000003E-2"/>
    <n v="-2"/>
    <n v="0"/>
    <n v="17.5"/>
    <n v="5.2"/>
    <n v="4.9000000000000004"/>
    <n v="0.5"/>
    <x v="3"/>
    <x v="3"/>
    <x v="0"/>
    <n v="0.39565217391304347"/>
    <m/>
  </r>
  <r>
    <n v="2006"/>
    <x v="23"/>
    <s v="MEM"/>
    <s v="Kyle Lowry"/>
    <s v="Villanova"/>
    <n v="1006"/>
    <n v="32057"/>
    <n v="14882"/>
    <n v="4403"/>
    <n v="6359"/>
    <n v="0.42399999999999999"/>
    <n v="0.36699999999999999"/>
    <n v="0.81299999999999994"/>
    <n v="102.5"/>
    <n v="0.154"/>
    <n v="3.1"/>
    <n v="41.1"/>
    <n v="31.9"/>
    <n v="14.8"/>
    <n v="4.4000000000000004"/>
    <n v="6.3"/>
    <x v="3"/>
    <x v="1"/>
    <x v="0"/>
    <n v="4.270833333333333"/>
    <m/>
  </r>
  <r>
    <n v="2006"/>
    <x v="24"/>
    <s v="CLE"/>
    <s v="Shannon Brown"/>
    <s v="Michigan State"/>
    <n v="408"/>
    <n v="7329"/>
    <n v="3118"/>
    <n v="760"/>
    <n v="458"/>
    <n v="0.42"/>
    <n v="0.33200000000000002"/>
    <n v="0.80700000000000005"/>
    <n v="9.1999999999999993"/>
    <n v="0.06"/>
    <n v="-1.5"/>
    <n v="1"/>
    <n v="18"/>
    <n v="7.6"/>
    <n v="1.9"/>
    <n v="1.1000000000000001"/>
    <x v="3"/>
    <x v="3"/>
    <x v="0"/>
    <n v="0.36799999999999999"/>
    <m/>
  </r>
  <r>
    <n v="2006"/>
    <x v="25"/>
    <s v="LAL"/>
    <s v="Jordan Farmar"/>
    <s v="UCLA"/>
    <n v="504"/>
    <n v="9840"/>
    <n v="3888"/>
    <n v="958"/>
    <n v="1453"/>
    <n v="0.42299999999999999"/>
    <n v="0.374"/>
    <n v="0.73899999999999999"/>
    <n v="13.9"/>
    <n v="6.8000000000000005E-2"/>
    <n v="-0.5"/>
    <n v="3.7"/>
    <n v="19.5"/>
    <n v="7.7"/>
    <n v="1.9"/>
    <n v="2.9"/>
    <x v="3"/>
    <x v="2"/>
    <x v="0"/>
    <n v="0.5346153846153846"/>
    <m/>
  </r>
  <r>
    <n v="2006"/>
    <x v="26"/>
    <s v="PHO"/>
    <s v="Sergio Rodríguez"/>
    <m/>
    <n v="353"/>
    <n v="5281"/>
    <n v="1747"/>
    <n v="525"/>
    <n v="1183"/>
    <n v="0.40899999999999997"/>
    <n v="0.33700000000000002"/>
    <n v="0.73899999999999999"/>
    <n v="4.3"/>
    <n v="3.9E-2"/>
    <n v="-2"/>
    <n v="0.1"/>
    <n v="15"/>
    <n v="4.9000000000000004"/>
    <n v="1.5"/>
    <n v="3.4"/>
    <x v="3"/>
    <x v="3"/>
    <x v="0"/>
    <n v="0.15925925925925924"/>
    <m/>
  </r>
  <r>
    <n v="2006"/>
    <x v="27"/>
    <s v="DAL"/>
    <s v="Maurice Ager"/>
    <s v="Michigan State"/>
    <n v="82"/>
    <n v="505"/>
    <n v="169"/>
    <n v="46"/>
    <n v="19"/>
    <n v="0.33900000000000002"/>
    <n v="0.25"/>
    <n v="0.56599999999999995"/>
    <n v="-0.9"/>
    <n v="-8.8999999999999996E-2"/>
    <n v="-9.4"/>
    <n v="-0.9"/>
    <n v="6.2"/>
    <n v="2.1"/>
    <n v="0.6"/>
    <n v="0.2"/>
    <x v="3"/>
    <x v="3"/>
    <x v="0"/>
    <n v="-3.2142857142857147E-2"/>
    <m/>
  </r>
  <r>
    <n v="2006"/>
    <x v="28"/>
    <s v="NYK"/>
    <s v="Mardy Collins"/>
    <s v="Temple"/>
    <n v="189"/>
    <n v="2771"/>
    <n v="742"/>
    <n v="336"/>
    <n v="327"/>
    <n v="0.38"/>
    <n v="0.29899999999999999"/>
    <n v="0.59899999999999998"/>
    <n v="-1.6"/>
    <n v="-2.7E-2"/>
    <n v="-4.4000000000000004"/>
    <n v="-1.7"/>
    <n v="14.7"/>
    <n v="3.9"/>
    <n v="1.8"/>
    <n v="1.7"/>
    <x v="3"/>
    <x v="3"/>
    <x v="0"/>
    <n v="-5.5172413793103454E-2"/>
    <m/>
  </r>
  <r>
    <n v="2006"/>
    <x v="29"/>
    <s v="POR"/>
    <s v="Joel Freeland"/>
    <m/>
    <n v="151"/>
    <n v="1821"/>
    <n v="477"/>
    <n v="518"/>
    <n v="65"/>
    <n v="0.45900000000000002"/>
    <n v="0"/>
    <n v="0.72799999999999998"/>
    <n v="3.2"/>
    <n v="8.4000000000000005E-2"/>
    <n v="-3.3"/>
    <n v="-0.6"/>
    <n v="12.1"/>
    <n v="3.2"/>
    <n v="3.4"/>
    <n v="0.4"/>
    <x v="3"/>
    <x v="3"/>
    <x v="0"/>
    <n v="0.10666666666666667"/>
    <m/>
  </r>
  <r>
    <n v="2007"/>
    <x v="0"/>
    <s v="POR"/>
    <s v="Greg Oden"/>
    <s v="Ohio State"/>
    <n v="105"/>
    <n v="2028"/>
    <n v="840"/>
    <n v="656"/>
    <n v="51"/>
    <n v="0.57399999999999995"/>
    <m/>
    <n v="0.65800000000000003"/>
    <n v="7.3"/>
    <n v="0.17399999999999999"/>
    <n v="-0.4"/>
    <n v="0.8"/>
    <n v="19.3"/>
    <n v="8"/>
    <n v="6.2"/>
    <n v="0.5"/>
    <x v="0"/>
    <x v="3"/>
    <x v="1"/>
    <n v="7.3"/>
    <m/>
  </r>
  <r>
    <n v="2007"/>
    <x v="1"/>
    <s v="OKC"/>
    <s v="Kevin Durant"/>
    <s v="Texas"/>
    <n v="920"/>
    <n v="33775"/>
    <n v="24936"/>
    <n v="6506"/>
    <n v="3888"/>
    <n v="0.495"/>
    <n v="0.38300000000000001"/>
    <n v="0.88300000000000001"/>
    <n v="152.30000000000001"/>
    <n v="0.216"/>
    <n v="6.8"/>
    <n v="74.8"/>
    <n v="36.700000000000003"/>
    <n v="27.1"/>
    <n v="7.1"/>
    <n v="4.2"/>
    <x v="0"/>
    <x v="1"/>
    <x v="0"/>
    <n v="76.150000000000006"/>
    <m/>
  </r>
  <r>
    <n v="2007"/>
    <x v="2"/>
    <s v="ATL"/>
    <s v="Al Horford"/>
    <s v="Florida"/>
    <n v="932"/>
    <n v="30034"/>
    <n v="12802"/>
    <n v="7625"/>
    <n v="3085"/>
    <n v="0.51400000000000001"/>
    <n v="0.35699999999999998"/>
    <n v="0.75800000000000001"/>
    <n v="97.9"/>
    <n v="0.156"/>
    <n v="2.8"/>
    <n v="36.799999999999997"/>
    <n v="32.200000000000003"/>
    <n v="13.7"/>
    <n v="8.1999999999999993"/>
    <n v="3.3"/>
    <x v="0"/>
    <x v="1"/>
    <x v="0"/>
    <n v="32.633333333333333"/>
    <m/>
  </r>
  <r>
    <n v="2007"/>
    <x v="3"/>
    <s v="MEM"/>
    <s v="Mike Conley"/>
    <s v="Ohio State"/>
    <n v="938"/>
    <n v="30031"/>
    <n v="13954"/>
    <n v="2815"/>
    <n v="5298"/>
    <n v="0.439"/>
    <n v="0.38100000000000001"/>
    <n v="0.82099999999999995"/>
    <n v="85.3"/>
    <n v="0.13600000000000001"/>
    <n v="2.5"/>
    <n v="34.1"/>
    <n v="32"/>
    <n v="14.9"/>
    <n v="3"/>
    <n v="5.6"/>
    <x v="0"/>
    <x v="1"/>
    <x v="0"/>
    <n v="21.324999999999999"/>
    <m/>
  </r>
  <r>
    <n v="2007"/>
    <x v="4"/>
    <s v="BOS"/>
    <s v="Jeff Green"/>
    <s v="Georgetown"/>
    <n v="1030"/>
    <n v="29939"/>
    <n v="13084"/>
    <n v="4441"/>
    <n v="1596"/>
    <n v="0.44700000000000001"/>
    <n v="0.34"/>
    <n v="0.80500000000000005"/>
    <n v="49.2"/>
    <n v="7.9000000000000001E-2"/>
    <n v="-1.3"/>
    <n v="4.9000000000000004"/>
    <n v="29.1"/>
    <n v="12.7"/>
    <n v="4.3"/>
    <n v="1.5"/>
    <x v="0"/>
    <x v="0"/>
    <x v="0"/>
    <n v="9.84"/>
    <m/>
  </r>
  <r>
    <n v="2007"/>
    <x v="5"/>
    <s v="MIL"/>
    <s v="Yi Jianlian"/>
    <m/>
    <n v="272"/>
    <n v="6038"/>
    <n v="2148"/>
    <n v="1339"/>
    <n v="192"/>
    <n v="0.40400000000000003"/>
    <n v="0.33300000000000002"/>
    <n v="0.78"/>
    <n v="3.1"/>
    <n v="2.5000000000000001E-2"/>
    <n v="-4.3"/>
    <n v="-3.5"/>
    <n v="22.2"/>
    <n v="7.9"/>
    <n v="4.9000000000000004"/>
    <n v="0.7"/>
    <x v="1"/>
    <x v="3"/>
    <x v="1"/>
    <n v="0.51666666666666672"/>
    <m/>
  </r>
  <r>
    <n v="2007"/>
    <x v="6"/>
    <s v="MIN"/>
    <s v="Corey Brewer"/>
    <s v="Florida"/>
    <n v="819"/>
    <n v="18771"/>
    <n v="7097"/>
    <n v="2287"/>
    <n v="1250"/>
    <n v="0.42499999999999999"/>
    <n v="0.28399999999999997"/>
    <n v="0.71299999999999997"/>
    <n v="22.5"/>
    <n v="5.8000000000000003E-2"/>
    <n v="-1.6"/>
    <n v="2"/>
    <n v="22.9"/>
    <n v="8.6999999999999993"/>
    <n v="2.8"/>
    <n v="1.5"/>
    <x v="1"/>
    <x v="2"/>
    <x v="0"/>
    <n v="3.2142857142857144"/>
    <m/>
  </r>
  <r>
    <n v="2007"/>
    <x v="7"/>
    <s v="CHA"/>
    <s v="Brandan Wright"/>
    <s v="UNC"/>
    <n v="428"/>
    <n v="6949"/>
    <n v="2976"/>
    <n v="1560"/>
    <n v="199"/>
    <n v="0.60699999999999998"/>
    <n v="0"/>
    <n v="0.67400000000000004"/>
    <n v="26.2"/>
    <n v="0.18099999999999999"/>
    <n v="2.2999999999999998"/>
    <n v="7.5"/>
    <n v="16.2"/>
    <n v="7"/>
    <n v="3.6"/>
    <n v="0.5"/>
    <x v="1"/>
    <x v="2"/>
    <x v="0"/>
    <n v="3.2749999999999999"/>
    <m/>
  </r>
  <r>
    <n v="2007"/>
    <x v="8"/>
    <s v="CHI"/>
    <s v="Joakim Noah"/>
    <s v="Florida"/>
    <n v="672"/>
    <n v="18646"/>
    <n v="5881"/>
    <n v="6058"/>
    <n v="1907"/>
    <n v="0.49099999999999999"/>
    <n v="0"/>
    <n v="0.7"/>
    <n v="61.9"/>
    <n v="0.159"/>
    <n v="2.5"/>
    <n v="20.9"/>
    <n v="27.7"/>
    <n v="8.8000000000000007"/>
    <n v="9"/>
    <n v="2.8"/>
    <x v="1"/>
    <x v="0"/>
    <x v="0"/>
    <n v="6.8777777777777773"/>
    <m/>
  </r>
  <r>
    <n v="2007"/>
    <x v="9"/>
    <s v="SAC"/>
    <s v="Spencer Hawes"/>
    <s v="Washington"/>
    <n v="684"/>
    <n v="15541"/>
    <n v="5932"/>
    <n v="3893"/>
    <n v="1271"/>
    <n v="0.45700000000000002"/>
    <n v="0.35"/>
    <n v="0.71599999999999997"/>
    <n v="22.6"/>
    <n v="7.0000000000000007E-2"/>
    <n v="-1.1000000000000001"/>
    <n v="3.4"/>
    <n v="22.7"/>
    <n v="8.6999999999999993"/>
    <n v="5.7"/>
    <n v="1.9"/>
    <x v="1"/>
    <x v="2"/>
    <x v="0"/>
    <n v="2.2600000000000002"/>
    <m/>
  </r>
  <r>
    <n v="2007"/>
    <x v="10"/>
    <s v="ATL"/>
    <s v="Acie Law"/>
    <s v="Texas A&amp;M"/>
    <n v="188"/>
    <n v="2385"/>
    <n v="725"/>
    <n v="195"/>
    <n v="309"/>
    <n v="0.41299999999999998"/>
    <n v="0.23499999999999999"/>
    <n v="0.77800000000000002"/>
    <n v="1.6"/>
    <n v="3.2000000000000001E-2"/>
    <n v="-3.9"/>
    <n v="-1.1000000000000001"/>
    <n v="12.7"/>
    <n v="3.9"/>
    <n v="1"/>
    <n v="1.6"/>
    <x v="1"/>
    <x v="3"/>
    <x v="1"/>
    <n v="0.14545454545454548"/>
    <m/>
  </r>
  <r>
    <n v="2007"/>
    <x v="11"/>
    <s v="PHI"/>
    <s v="Thaddeus Young"/>
    <s v="Georgia Tech"/>
    <n v="1061"/>
    <n v="31336"/>
    <n v="13698"/>
    <n v="6239"/>
    <n v="1960"/>
    <n v="0.502"/>
    <n v="0.33"/>
    <n v="0.66500000000000004"/>
    <n v="67.7"/>
    <n v="0.104"/>
    <n v="0.5"/>
    <n v="19.5"/>
    <n v="29.5"/>
    <n v="12.9"/>
    <n v="5.9"/>
    <n v="1.8"/>
    <x v="1"/>
    <x v="0"/>
    <x v="0"/>
    <n v="5.6416666666666666"/>
    <m/>
  </r>
  <r>
    <n v="2007"/>
    <x v="12"/>
    <s v="CHA"/>
    <s v="Julian Wright"/>
    <s v="Kansas"/>
    <n v="231"/>
    <n v="3049"/>
    <n v="907"/>
    <n v="531"/>
    <n v="182"/>
    <n v="0.499"/>
    <n v="0.26200000000000001"/>
    <n v="0.58399999999999996"/>
    <n v="3.9"/>
    <n v="6.0999999999999999E-2"/>
    <n v="-0.5"/>
    <n v="1.2"/>
    <n v="13.2"/>
    <n v="3.9"/>
    <n v="2.2999999999999998"/>
    <n v="0.8"/>
    <x v="1"/>
    <x v="3"/>
    <x v="1"/>
    <n v="0.3"/>
    <m/>
  </r>
  <r>
    <n v="2007"/>
    <x v="13"/>
    <s v="LAC"/>
    <s v="Al Thornton"/>
    <s v="Florida State"/>
    <n v="296"/>
    <n v="8274"/>
    <n v="3527"/>
    <n v="1233"/>
    <n v="353"/>
    <n v="0.45200000000000001"/>
    <n v="0.29299999999999998"/>
    <n v="0.747"/>
    <n v="6.1"/>
    <n v="3.5000000000000003E-2"/>
    <n v="-3.5"/>
    <n v="-3.2"/>
    <n v="28"/>
    <n v="11.9"/>
    <n v="4.2"/>
    <n v="1.2"/>
    <x v="1"/>
    <x v="3"/>
    <x v="1"/>
    <n v="0.43571428571428567"/>
    <m/>
  </r>
  <r>
    <n v="2007"/>
    <x v="14"/>
    <s v="DET"/>
    <s v="Rodney Stuckey"/>
    <s v="Eastern Washington"/>
    <n v="651"/>
    <n v="17890"/>
    <n v="8185"/>
    <n v="1912"/>
    <n v="2333"/>
    <n v="0.42299999999999999"/>
    <n v="0.3"/>
    <n v="0.82399999999999995"/>
    <n v="28.7"/>
    <n v="7.6999999999999999E-2"/>
    <n v="-0.9"/>
    <n v="4.9000000000000004"/>
    <n v="27.5"/>
    <n v="12.6"/>
    <n v="2.9"/>
    <n v="3.6"/>
    <x v="2"/>
    <x v="2"/>
    <x v="0"/>
    <n v="1.9133333333333333"/>
    <m/>
  </r>
  <r>
    <n v="2007"/>
    <x v="15"/>
    <s v="WAS"/>
    <s v="Nick Young"/>
    <s v="USC"/>
    <n v="720"/>
    <n v="16419"/>
    <n v="8194"/>
    <n v="1427"/>
    <n v="687"/>
    <n v="0.41799999999999998"/>
    <n v="0.376"/>
    <n v="0.83599999999999997"/>
    <n v="18.600000000000001"/>
    <n v="5.3999999999999999E-2"/>
    <n v="-2.2000000000000002"/>
    <n v="-0.8"/>
    <n v="22.8"/>
    <n v="11.4"/>
    <n v="2"/>
    <n v="1"/>
    <x v="2"/>
    <x v="2"/>
    <x v="0"/>
    <n v="1.1625000000000001"/>
    <m/>
  </r>
  <r>
    <n v="2007"/>
    <x v="16"/>
    <s v="BRK"/>
    <s v="Sean Williams"/>
    <s v="Boston College"/>
    <n v="137"/>
    <n v="1978"/>
    <n v="581"/>
    <n v="472"/>
    <n v="47"/>
    <n v="0.51100000000000001"/>
    <n v="0"/>
    <n v="0.624"/>
    <n v="3"/>
    <n v="7.2999999999999995E-2"/>
    <n v="-3.1"/>
    <n v="-0.6"/>
    <n v="14.4"/>
    <n v="4.2"/>
    <n v="3.4"/>
    <n v="0.3"/>
    <x v="2"/>
    <x v="3"/>
    <x v="0"/>
    <n v="0.17647058823529413"/>
    <m/>
  </r>
  <r>
    <n v="2007"/>
    <x v="17"/>
    <s v="GSW"/>
    <s v="Marco Belinelli"/>
    <m/>
    <n v="860"/>
    <n v="19548"/>
    <n v="8370"/>
    <n v="1769"/>
    <n v="1429"/>
    <n v="0.42399999999999999"/>
    <n v="0.376"/>
    <n v="0.84599999999999997"/>
    <n v="30.5"/>
    <n v="7.4999999999999997E-2"/>
    <n v="-1.3"/>
    <n v="3.3"/>
    <n v="22.7"/>
    <n v="9.6999999999999993"/>
    <n v="2.1"/>
    <n v="1.7"/>
    <x v="2"/>
    <x v="0"/>
    <x v="0"/>
    <n v="1.6944444444444444"/>
    <m/>
  </r>
  <r>
    <n v="2007"/>
    <x v="18"/>
    <s v="LAL"/>
    <s v="Javaris Crittenton"/>
    <s v="Georgia Tech"/>
    <n v="113"/>
    <n v="1853"/>
    <n v="595"/>
    <n v="276"/>
    <n v="201"/>
    <n v="0.442"/>
    <n v="0.23100000000000001"/>
    <n v="0.63800000000000001"/>
    <n v="0.1"/>
    <n v="2E-3"/>
    <n v="-4.2"/>
    <n v="-1"/>
    <n v="16.399999999999999"/>
    <n v="5.3"/>
    <n v="2.4"/>
    <n v="1.8"/>
    <x v="2"/>
    <x v="3"/>
    <x v="0"/>
    <n v="5.263157894736842E-3"/>
    <m/>
  </r>
  <r>
    <n v="2007"/>
    <x v="19"/>
    <s v="MIA"/>
    <s v="Jason Smith"/>
    <s v="Colorado State"/>
    <n v="616"/>
    <n v="10029"/>
    <n v="3777"/>
    <n v="2075"/>
    <n v="453"/>
    <n v="0.46800000000000003"/>
    <n v="0.33300000000000002"/>
    <n v="0.78300000000000003"/>
    <n v="14.1"/>
    <n v="6.7000000000000004E-2"/>
    <n v="-2.9"/>
    <n v="-2.4"/>
    <n v="16.3"/>
    <n v="6.1"/>
    <n v="3.4"/>
    <n v="0.7"/>
    <x v="2"/>
    <x v="2"/>
    <x v="0"/>
    <n v="0.70499999999999996"/>
    <m/>
  </r>
  <r>
    <n v="2007"/>
    <x v="20"/>
    <s v="PHI"/>
    <s v="Daequan Cook"/>
    <s v="Ohio State"/>
    <n v="328"/>
    <n v="5993"/>
    <n v="2114"/>
    <n v="703"/>
    <n v="243"/>
    <n v="0.36899999999999999"/>
    <n v="0.35899999999999999"/>
    <n v="0.81299999999999994"/>
    <n v="4.9000000000000004"/>
    <n v="3.9E-2"/>
    <n v="-2.7"/>
    <n v="-1.1000000000000001"/>
    <n v="18.3"/>
    <n v="6.4"/>
    <n v="2.1"/>
    <n v="0.7"/>
    <x v="3"/>
    <x v="3"/>
    <x v="0"/>
    <n v="0.23333333333333334"/>
    <m/>
  </r>
  <r>
    <n v="2007"/>
    <x v="21"/>
    <s v="CHA"/>
    <s v="Jared Dudley"/>
    <s v="Boston College"/>
    <n v="904"/>
    <n v="20117"/>
    <n v="6633"/>
    <n v="2849"/>
    <n v="1394"/>
    <n v="0.46300000000000002"/>
    <n v="0.39300000000000002"/>
    <n v="0.73199999999999998"/>
    <n v="43"/>
    <n v="0.10299999999999999"/>
    <n v="0.2"/>
    <n v="11"/>
    <n v="22.3"/>
    <n v="7.3"/>
    <n v="3.2"/>
    <n v="1.5"/>
    <x v="3"/>
    <x v="0"/>
    <x v="0"/>
    <n v="1.9545454545454546"/>
    <m/>
  </r>
  <r>
    <n v="2007"/>
    <x v="22"/>
    <s v="NYK"/>
    <s v="Wilson Chandler"/>
    <s v="DePaul"/>
    <n v="676"/>
    <n v="20287"/>
    <n v="8463"/>
    <n v="3574"/>
    <n v="1205"/>
    <n v="0.443"/>
    <n v="0.34100000000000003"/>
    <n v="0.77"/>
    <n v="29"/>
    <n v="6.9000000000000006E-2"/>
    <n v="-1.3"/>
    <n v="3.5"/>
    <n v="30"/>
    <n v="12.5"/>
    <n v="5.3"/>
    <n v="1.8"/>
    <x v="3"/>
    <x v="2"/>
    <x v="0"/>
    <n v="1.2608695652173914"/>
    <m/>
  </r>
  <r>
    <n v="2007"/>
    <x v="23"/>
    <s v="PHO"/>
    <s v="Rudy Fernández"/>
    <m/>
    <n v="249"/>
    <n v="5965"/>
    <n v="2254"/>
    <n v="608"/>
    <n v="554"/>
    <n v="0.39900000000000002"/>
    <n v="0.36"/>
    <n v="0.84"/>
    <n v="14.2"/>
    <n v="0.114"/>
    <n v="1.7"/>
    <n v="5.6"/>
    <n v="24"/>
    <n v="9.1"/>
    <n v="2.4"/>
    <n v="2.2000000000000002"/>
    <x v="3"/>
    <x v="2"/>
    <x v="0"/>
    <n v="0.59166666666666667"/>
    <m/>
  </r>
  <r>
    <n v="2007"/>
    <x v="24"/>
    <s v="UTA"/>
    <s v="Morris Almond"/>
    <s v="Rice University"/>
    <n v="38"/>
    <n v="361"/>
    <n v="119"/>
    <n v="46"/>
    <n v="12"/>
    <n v="0.38100000000000001"/>
    <n v="0.29199999999999998"/>
    <n v="0.74299999999999999"/>
    <n v="0"/>
    <n v="5.0000000000000001E-3"/>
    <n v="-6.1"/>
    <n v="-0.4"/>
    <n v="9.5"/>
    <n v="3.1"/>
    <n v="1.2"/>
    <n v="0.3"/>
    <x v="3"/>
    <x v="3"/>
    <x v="0"/>
    <n v="0"/>
    <m/>
  </r>
  <r>
    <n v="2007"/>
    <x v="25"/>
    <s v="HOU"/>
    <s v="Aaron Brooks"/>
    <s v="Oregon"/>
    <n v="645"/>
    <n v="13439"/>
    <n v="6259"/>
    <n v="1079"/>
    <n v="1925"/>
    <n v="0.41299999999999998"/>
    <n v="0.37"/>
    <n v="0.83699999999999997"/>
    <n v="19.2"/>
    <n v="6.9000000000000006E-2"/>
    <n v="-1.2"/>
    <n v="2.7"/>
    <n v="20.8"/>
    <n v="9.6999999999999993"/>
    <n v="1.7"/>
    <n v="3"/>
    <x v="3"/>
    <x v="2"/>
    <x v="0"/>
    <n v="0.73846153846153839"/>
    <m/>
  </r>
  <r>
    <n v="2007"/>
    <x v="26"/>
    <s v="DET"/>
    <s v="Arron Afflalo"/>
    <s v="UCLA"/>
    <n v="762"/>
    <n v="20829"/>
    <n v="8198"/>
    <n v="2176"/>
    <n v="1386"/>
    <n v="0.45"/>
    <n v="0.38600000000000001"/>
    <n v="0.82499999999999996"/>
    <n v="33.5"/>
    <n v="7.6999999999999999E-2"/>
    <n v="-1.5"/>
    <n v="2.4"/>
    <n v="27.3"/>
    <n v="10.8"/>
    <n v="2.9"/>
    <n v="1.8"/>
    <x v="3"/>
    <x v="0"/>
    <x v="0"/>
    <n v="1.2407407407407407"/>
    <m/>
  </r>
  <r>
    <n v="2007"/>
    <x v="27"/>
    <s v="SAS"/>
    <s v="Tiago Splitter"/>
    <m/>
    <n v="355"/>
    <n v="6812"/>
    <n v="2816"/>
    <n v="1779"/>
    <n v="423"/>
    <n v="0.55500000000000005"/>
    <n v="0.14299999999999999"/>
    <n v="0.69699999999999995"/>
    <n v="25.3"/>
    <n v="0.17799999999999999"/>
    <n v="1.1000000000000001"/>
    <n v="5.4"/>
    <n v="19.2"/>
    <n v="7.9"/>
    <n v="5"/>
    <n v="1.2"/>
    <x v="3"/>
    <x v="2"/>
    <x v="0"/>
    <n v="0.90357142857142858"/>
    <m/>
  </r>
  <r>
    <n v="2007"/>
    <x v="28"/>
    <s v="PHO"/>
    <s v="Alando Tucker"/>
    <s v="Wisconsin"/>
    <n v="51"/>
    <n v="426"/>
    <n v="211"/>
    <n v="49"/>
    <n v="16"/>
    <n v="0.42299999999999999"/>
    <n v="0.29399999999999998"/>
    <n v="0.78300000000000003"/>
    <n v="0.4"/>
    <n v="4.4999999999999998E-2"/>
    <n v="-4.5"/>
    <n v="-0.3"/>
    <n v="8.4"/>
    <n v="4.0999999999999996"/>
    <n v="1"/>
    <n v="0.3"/>
    <x v="3"/>
    <x v="3"/>
    <x v="0"/>
    <n v="1.3793103448275864E-2"/>
    <m/>
  </r>
  <r>
    <n v="2007"/>
    <x v="29"/>
    <s v="PHI"/>
    <s v="Petteri Koponen"/>
    <m/>
    <m/>
    <m/>
    <m/>
    <m/>
    <m/>
    <m/>
    <m/>
    <m/>
    <m/>
    <m/>
    <m/>
    <m/>
    <m/>
    <m/>
    <m/>
    <m/>
    <x v="3"/>
    <x v="3"/>
    <x v="0"/>
    <n v="0"/>
    <m/>
  </r>
  <r>
    <n v="2008"/>
    <x v="0"/>
    <s v="CHI"/>
    <s v="Derrick Rose"/>
    <s v="Memphis"/>
    <n v="672"/>
    <n v="21317"/>
    <n v="12230"/>
    <n v="2239"/>
    <n v="3646"/>
    <n v="0.45700000000000002"/>
    <n v="0.316"/>
    <n v="0.83"/>
    <n v="44.2"/>
    <n v="0.1"/>
    <n v="1.4"/>
    <n v="18.399999999999999"/>
    <n v="31.7"/>
    <n v="18.2"/>
    <n v="3.3"/>
    <n v="5.4"/>
    <x v="0"/>
    <x v="0"/>
    <x v="0"/>
    <n v="44.2"/>
    <m/>
  </r>
  <r>
    <n v="2008"/>
    <x v="1"/>
    <s v="MIA"/>
    <s v="Michael Beasley"/>
    <s v="Kansas State"/>
    <n v="609"/>
    <n v="13903"/>
    <n v="7568"/>
    <n v="2861"/>
    <n v="788"/>
    <n v="0.46500000000000002"/>
    <n v="0.34899999999999998"/>
    <n v="0.75900000000000001"/>
    <n v="15.6"/>
    <n v="5.3999999999999999E-2"/>
    <n v="-1.7"/>
    <n v="0.9"/>
    <n v="22.8"/>
    <n v="12.4"/>
    <n v="4.7"/>
    <n v="1.3"/>
    <x v="0"/>
    <x v="2"/>
    <x v="0"/>
    <n v="7.8"/>
    <m/>
  </r>
  <r>
    <n v="2008"/>
    <x v="2"/>
    <s v="MIN"/>
    <s v="O.J. Mayo"/>
    <s v="USC"/>
    <n v="547"/>
    <n v="16919"/>
    <n v="7574"/>
    <n v="1706"/>
    <n v="1607"/>
    <n v="0.42899999999999999"/>
    <n v="0.373"/>
    <n v="0.82"/>
    <n v="21.8"/>
    <n v="6.2E-2"/>
    <n v="-0.9"/>
    <n v="4.7"/>
    <n v="30.9"/>
    <n v="13.8"/>
    <n v="3.1"/>
    <n v="2.9"/>
    <x v="0"/>
    <x v="2"/>
    <x v="0"/>
    <n v="7.2666666666666666"/>
    <m/>
  </r>
  <r>
    <n v="2008"/>
    <x v="3"/>
    <s v="OKC"/>
    <s v="Russell Westbrook"/>
    <s v="UCLA"/>
    <n v="1000"/>
    <n v="34718"/>
    <n v="22899"/>
    <n v="7405"/>
    <n v="8491"/>
    <n v="0.437"/>
    <n v="0.30499999999999999"/>
    <n v="0.78500000000000003"/>
    <n v="106.4"/>
    <n v="0.14699999999999999"/>
    <n v="4.4000000000000004"/>
    <n v="55.8"/>
    <n v="34.700000000000003"/>
    <n v="22.9"/>
    <n v="7.4"/>
    <n v="8.5"/>
    <x v="0"/>
    <x v="1"/>
    <x v="0"/>
    <n v="26.6"/>
    <m/>
  </r>
  <r>
    <n v="2008"/>
    <x v="4"/>
    <s v="MEM"/>
    <s v="Kevin Love"/>
    <s v="UCLA"/>
    <n v="788"/>
    <n v="24542"/>
    <n v="14013"/>
    <n v="8497"/>
    <n v="1867"/>
    <n v="0.441"/>
    <n v="0.372"/>
    <n v="0.82899999999999996"/>
    <n v="87.5"/>
    <n v="0.17100000000000001"/>
    <n v="3.4"/>
    <n v="33.5"/>
    <n v="31.1"/>
    <n v="17.8"/>
    <n v="10.8"/>
    <n v="2.4"/>
    <x v="0"/>
    <x v="1"/>
    <x v="0"/>
    <n v="17.5"/>
    <m/>
  </r>
  <r>
    <n v="2008"/>
    <x v="5"/>
    <s v="NYK"/>
    <s v="Danilo Gallinari"/>
    <m/>
    <n v="709"/>
    <n v="21209"/>
    <n v="11053"/>
    <n v="3408"/>
    <n v="1377"/>
    <n v="0.42699999999999999"/>
    <n v="0.38300000000000001"/>
    <n v="0.877"/>
    <n v="62.9"/>
    <n v="0.14199999999999999"/>
    <n v="1.8"/>
    <n v="20.5"/>
    <n v="29.9"/>
    <n v="15.6"/>
    <n v="4.8"/>
    <n v="1.9"/>
    <x v="1"/>
    <x v="0"/>
    <x v="0"/>
    <n v="10.483333333333333"/>
    <m/>
  </r>
  <r>
    <n v="2008"/>
    <x v="6"/>
    <s v="LAC"/>
    <s v="Eric Gordon"/>
    <s v="Indiana"/>
    <n v="739"/>
    <n v="23982"/>
    <n v="12169"/>
    <n v="1793"/>
    <n v="2107"/>
    <n v="0.42799999999999999"/>
    <n v="0.37"/>
    <n v="0.81"/>
    <n v="36.299999999999997"/>
    <n v="7.2999999999999995E-2"/>
    <n v="-0.5"/>
    <n v="8.9"/>
    <n v="32.5"/>
    <n v="16.5"/>
    <n v="2.4"/>
    <n v="2.9"/>
    <x v="1"/>
    <x v="0"/>
    <x v="0"/>
    <n v="5.1857142857142851"/>
    <m/>
  </r>
  <r>
    <n v="2008"/>
    <x v="7"/>
    <s v="MIL"/>
    <s v="Joe Alexander"/>
    <s v="West Virginia"/>
    <n v="67"/>
    <n v="745"/>
    <n v="282"/>
    <n v="120"/>
    <n v="44"/>
    <n v="0.41"/>
    <n v="0.34"/>
    <n v="0.69799999999999995"/>
    <n v="0.5"/>
    <n v="0.03"/>
    <n v="-3.6"/>
    <n v="-0.3"/>
    <n v="11.1"/>
    <n v="4.2"/>
    <n v="1.8"/>
    <n v="0.7"/>
    <x v="1"/>
    <x v="3"/>
    <x v="1"/>
    <n v="6.25E-2"/>
    <m/>
  </r>
  <r>
    <n v="2008"/>
    <x v="8"/>
    <s v="CHA"/>
    <s v="D.J. Augustin"/>
    <s v="Texas"/>
    <n v="955"/>
    <n v="22478"/>
    <n v="9147"/>
    <n v="1778"/>
    <n v="3728"/>
    <n v="0.41099999999999998"/>
    <n v="0.38"/>
    <n v="0.86699999999999999"/>
    <n v="47"/>
    <n v="0.1"/>
    <n v="-0.7"/>
    <n v="7.6"/>
    <n v="23.5"/>
    <n v="9.6"/>
    <n v="1.9"/>
    <n v="3.9"/>
    <x v="1"/>
    <x v="0"/>
    <x v="0"/>
    <n v="5.2222222222222223"/>
    <m/>
  </r>
  <r>
    <n v="2008"/>
    <x v="9"/>
    <s v="BRK"/>
    <s v="Brook Lopez"/>
    <s v="Stanford"/>
    <n v="856"/>
    <n v="25922"/>
    <n v="14094"/>
    <n v="5359"/>
    <n v="1240"/>
    <n v="0.49399999999999999"/>
    <n v="0.34"/>
    <n v="0.79600000000000004"/>
    <n v="70.900000000000006"/>
    <n v="0.13100000000000001"/>
    <n v="1.3"/>
    <n v="21.6"/>
    <n v="30.3"/>
    <n v="16.5"/>
    <n v="6.3"/>
    <n v="1.4"/>
    <x v="1"/>
    <x v="0"/>
    <x v="0"/>
    <n v="7.0900000000000007"/>
    <m/>
  </r>
  <r>
    <n v="2008"/>
    <x v="10"/>
    <s v="IND"/>
    <s v="Jerryd Bayless"/>
    <s v="Arizona"/>
    <n v="586"/>
    <n v="12486"/>
    <n v="4909"/>
    <n v="1235"/>
    <n v="1674"/>
    <n v="0.41099999999999998"/>
    <n v="0.36099999999999999"/>
    <n v="0.81799999999999995"/>
    <n v="18.600000000000001"/>
    <n v="7.1999999999999995E-2"/>
    <n v="-1.6"/>
    <n v="1.1000000000000001"/>
    <n v="21.3"/>
    <n v="8.4"/>
    <n v="2.1"/>
    <n v="2.9"/>
    <x v="1"/>
    <x v="2"/>
    <x v="0"/>
    <n v="1.6909090909090911"/>
    <m/>
  </r>
  <r>
    <n v="2008"/>
    <x v="11"/>
    <s v="SAC"/>
    <s v="Jason Thompson"/>
    <s v="Rider University"/>
    <n v="588"/>
    <n v="14819"/>
    <n v="5210"/>
    <n v="3880"/>
    <n v="635"/>
    <n v="0.496"/>
    <n v="0.14299999999999999"/>
    <n v="0.65700000000000003"/>
    <n v="23.8"/>
    <n v="7.6999999999999999E-2"/>
    <n v="-2.6"/>
    <n v="-2.4"/>
    <n v="25.2"/>
    <n v="8.9"/>
    <n v="6.6"/>
    <n v="1.1000000000000001"/>
    <x v="1"/>
    <x v="2"/>
    <x v="0"/>
    <n v="1.9833333333333334"/>
    <m/>
  </r>
  <r>
    <n v="2008"/>
    <x v="12"/>
    <s v="POR"/>
    <s v="Brandon Rush"/>
    <s v="Kansas"/>
    <n v="481"/>
    <n v="10564"/>
    <n v="3250"/>
    <n v="1413"/>
    <n v="468"/>
    <n v="0.42599999999999999"/>
    <n v="0.40200000000000002"/>
    <n v="0.70599999999999996"/>
    <n v="11.2"/>
    <n v="5.0999999999999997E-2"/>
    <n v="-1.4"/>
    <n v="1.6"/>
    <n v="22"/>
    <n v="6.8"/>
    <n v="2.9"/>
    <n v="1"/>
    <x v="1"/>
    <x v="2"/>
    <x v="0"/>
    <n v="0.86153846153846148"/>
    <m/>
  </r>
  <r>
    <n v="2008"/>
    <x v="13"/>
    <s v="GSW"/>
    <s v="Anthony Randolph"/>
    <s v="LSU"/>
    <n v="252"/>
    <n v="3841"/>
    <n v="1789"/>
    <n v="1078"/>
    <n v="187"/>
    <n v="0.45300000000000001"/>
    <n v="0.24099999999999999"/>
    <n v="0.74"/>
    <n v="5.8"/>
    <n v="7.1999999999999995E-2"/>
    <n v="-1.6"/>
    <n v="0.4"/>
    <n v="15.2"/>
    <n v="7.1"/>
    <n v="4.3"/>
    <n v="0.7"/>
    <x v="1"/>
    <x v="3"/>
    <x v="1"/>
    <n v="0.41428571428571426"/>
    <m/>
  </r>
  <r>
    <n v="2008"/>
    <x v="14"/>
    <s v="PHO"/>
    <s v="Robin Lopez"/>
    <s v="Stanford"/>
    <n v="930"/>
    <n v="20427"/>
    <n v="8151"/>
    <n v="4575"/>
    <n v="786"/>
    <n v="0.53700000000000003"/>
    <n v="0.29599999999999999"/>
    <n v="0.74299999999999999"/>
    <n v="48.9"/>
    <n v="0.115"/>
    <n v="-1"/>
    <n v="4.9000000000000004"/>
    <n v="22"/>
    <n v="8.8000000000000007"/>
    <n v="4.9000000000000004"/>
    <n v="0.8"/>
    <x v="2"/>
    <x v="0"/>
    <x v="0"/>
    <n v="3.26"/>
    <m/>
  </r>
  <r>
    <n v="2008"/>
    <x v="15"/>
    <s v="PHI"/>
    <s v="Marreese Speights"/>
    <s v="Florida"/>
    <n v="705"/>
    <n v="10640"/>
    <n v="5592"/>
    <n v="2875"/>
    <n v="461"/>
    <n v="0.45900000000000002"/>
    <n v="0.35599999999999998"/>
    <n v="0.79700000000000004"/>
    <n v="25.8"/>
    <n v="0.11600000000000001"/>
    <n v="-2.2000000000000002"/>
    <n v="-0.6"/>
    <n v="15.1"/>
    <n v="7.9"/>
    <n v="4.0999999999999996"/>
    <n v="0.7"/>
    <x v="2"/>
    <x v="2"/>
    <x v="0"/>
    <n v="1.6125"/>
    <m/>
  </r>
  <r>
    <n v="2008"/>
    <x v="16"/>
    <s v="TOR"/>
    <s v="Roy Hibbert"/>
    <s v="Georgetown"/>
    <n v="662"/>
    <n v="16389"/>
    <n v="6611"/>
    <n v="4173"/>
    <n v="885"/>
    <n v="0.46500000000000002"/>
    <n v="0.25"/>
    <n v="0.755"/>
    <n v="35.9"/>
    <n v="0.105"/>
    <n v="-1.1000000000000001"/>
    <n v="3.5"/>
    <n v="24.8"/>
    <n v="10"/>
    <n v="6.3"/>
    <n v="1.3"/>
    <x v="2"/>
    <x v="0"/>
    <x v="0"/>
    <n v="2.111764705882353"/>
    <m/>
  </r>
  <r>
    <n v="2008"/>
    <x v="17"/>
    <s v="WAS"/>
    <s v="JaVale McGee"/>
    <s v="Nevada"/>
    <n v="799"/>
    <n v="13649"/>
    <n v="6373"/>
    <n v="4209"/>
    <n v="349"/>
    <n v="0.57699999999999996"/>
    <n v="0.19"/>
    <n v="0.60099999999999998"/>
    <n v="41.5"/>
    <n v="0.14599999999999999"/>
    <n v="0.2"/>
    <n v="7.5"/>
    <n v="17.100000000000001"/>
    <n v="8"/>
    <n v="5.3"/>
    <n v="0.4"/>
    <x v="2"/>
    <x v="0"/>
    <x v="0"/>
    <n v="2.3055555555555554"/>
    <m/>
  </r>
  <r>
    <n v="2008"/>
    <x v="18"/>
    <s v="CLE"/>
    <s v="J.J. Hickson"/>
    <s v="NC State"/>
    <n v="534"/>
    <n v="11925"/>
    <n v="5081"/>
    <n v="3639"/>
    <n v="449"/>
    <n v="0.505"/>
    <n v="0"/>
    <n v="0.61699999999999999"/>
    <n v="21.9"/>
    <n v="8.7999999999999995E-2"/>
    <n v="-1.8"/>
    <n v="0.5"/>
    <n v="22.3"/>
    <n v="9.5"/>
    <n v="6.8"/>
    <n v="0.8"/>
    <x v="2"/>
    <x v="2"/>
    <x v="0"/>
    <n v="1.1526315789473685"/>
    <m/>
  </r>
  <r>
    <n v="2008"/>
    <x v="19"/>
    <s v="CHA"/>
    <s v="Alexis Ajinça"/>
    <m/>
    <n v="293"/>
    <n v="3905"/>
    <n v="1553"/>
    <n v="1150"/>
    <n v="143"/>
    <n v="0.503"/>
    <n v="0.28599999999999998"/>
    <n v="0.79700000000000004"/>
    <n v="7.5"/>
    <n v="9.2999999999999999E-2"/>
    <n v="-2.8"/>
    <n v="-0.8"/>
    <n v="13.3"/>
    <n v="5.3"/>
    <n v="3.9"/>
    <n v="0.5"/>
    <x v="2"/>
    <x v="3"/>
    <x v="0"/>
    <n v="0.375"/>
    <m/>
  </r>
  <r>
    <n v="2008"/>
    <x v="20"/>
    <s v="BRK"/>
    <s v="Ryan Anderson"/>
    <s v="California"/>
    <n v="649"/>
    <n v="16769"/>
    <n v="8001"/>
    <n v="3413"/>
    <n v="586"/>
    <n v="0.42199999999999999"/>
    <n v="0.38"/>
    <n v="0.85399999999999998"/>
    <n v="46.7"/>
    <n v="0.13400000000000001"/>
    <n v="1"/>
    <n v="12.8"/>
    <n v="25.8"/>
    <n v="12.3"/>
    <n v="5.3"/>
    <n v="0.9"/>
    <x v="3"/>
    <x v="0"/>
    <x v="0"/>
    <n v="2.2238095238095239"/>
    <m/>
  </r>
  <r>
    <n v="2008"/>
    <x v="21"/>
    <s v="ORL"/>
    <s v="Courtney Lee"/>
    <s v="Western Kentucky"/>
    <n v="811"/>
    <n v="21938"/>
    <n v="7765"/>
    <n v="2127"/>
    <n v="1353"/>
    <n v="0.45100000000000001"/>
    <n v="0.38800000000000001"/>
    <n v="0.85299999999999998"/>
    <n v="39.299999999999997"/>
    <n v="8.5999999999999993E-2"/>
    <n v="-0.6"/>
    <n v="7.9"/>
    <n v="27.1"/>
    <n v="9.6"/>
    <n v="2.6"/>
    <n v="1.7"/>
    <x v="3"/>
    <x v="0"/>
    <x v="0"/>
    <n v="1.7863636363636362"/>
    <m/>
  </r>
  <r>
    <n v="2008"/>
    <x v="22"/>
    <s v="UTA"/>
    <s v="Kosta Koufos"/>
    <s v="Ohio State"/>
    <n v="686"/>
    <n v="11271"/>
    <n v="3913"/>
    <n v="3452"/>
    <n v="359"/>
    <n v="0.53400000000000003"/>
    <n v="0"/>
    <n v="0.58199999999999996"/>
    <n v="28.3"/>
    <n v="0.12"/>
    <n v="-1.3"/>
    <n v="2"/>
    <n v="16.399999999999999"/>
    <n v="5.7"/>
    <n v="5"/>
    <n v="0.5"/>
    <x v="3"/>
    <x v="2"/>
    <x v="0"/>
    <n v="1.2304347826086957"/>
    <m/>
  </r>
  <r>
    <n v="2008"/>
    <x v="23"/>
    <s v="OKC"/>
    <s v="Serge Ibaka"/>
    <m/>
    <n v="887"/>
    <n v="24681"/>
    <n v="10849"/>
    <n v="6387"/>
    <n v="735"/>
    <n v="0.51300000000000001"/>
    <n v="0.35899999999999999"/>
    <n v="0.75800000000000001"/>
    <n v="72"/>
    <n v="0.14000000000000001"/>
    <n v="0.5"/>
    <n v="15.8"/>
    <n v="27.8"/>
    <n v="12.2"/>
    <n v="7.2"/>
    <n v="0.8"/>
    <x v="3"/>
    <x v="0"/>
    <x v="0"/>
    <n v="3"/>
    <m/>
  </r>
  <r>
    <n v="2008"/>
    <x v="24"/>
    <s v="HOU"/>
    <s v="Nicolas Batum"/>
    <m/>
    <n v="896"/>
    <n v="27560"/>
    <n v="10011"/>
    <n v="4632"/>
    <n v="3176"/>
    <n v="0.438"/>
    <n v="0.36299999999999999"/>
    <n v="0.83799999999999997"/>
    <n v="62.6"/>
    <n v="0.109"/>
    <n v="1.7"/>
    <n v="25.8"/>
    <n v="30.8"/>
    <n v="11.2"/>
    <n v="5.2"/>
    <n v="3.5"/>
    <x v="3"/>
    <x v="0"/>
    <x v="0"/>
    <n v="2.504"/>
    <m/>
  </r>
  <r>
    <n v="2008"/>
    <x v="25"/>
    <s v="SAS"/>
    <s v="George Hill"/>
    <s v="IUPUI"/>
    <n v="856"/>
    <n v="23458"/>
    <n v="9268"/>
    <n v="2623"/>
    <n v="2678"/>
    <n v="0.45700000000000002"/>
    <n v="0.38100000000000001"/>
    <n v="0.80700000000000005"/>
    <n v="69"/>
    <n v="0.14099999999999999"/>
    <n v="1.3"/>
    <n v="19.3"/>
    <n v="27.4"/>
    <n v="10.8"/>
    <n v="3.1"/>
    <n v="3.1"/>
    <x v="3"/>
    <x v="0"/>
    <x v="0"/>
    <n v="2.6538461538461537"/>
    <m/>
  </r>
  <r>
    <n v="2008"/>
    <x v="26"/>
    <s v="NOP"/>
    <s v="Darrell Arthur"/>
    <s v="Kansas"/>
    <n v="503"/>
    <n v="8945"/>
    <n v="3282"/>
    <n v="1768"/>
    <n v="409"/>
    <n v="0.44400000000000001"/>
    <n v="0.35199999999999998"/>
    <n v="0.76500000000000001"/>
    <n v="12.3"/>
    <n v="6.6000000000000003E-2"/>
    <n v="-2.2000000000000002"/>
    <n v="-0.4"/>
    <n v="17.8"/>
    <n v="6.5"/>
    <n v="3.5"/>
    <n v="0.8"/>
    <x v="3"/>
    <x v="2"/>
    <x v="0"/>
    <n v="0.4555555555555556"/>
    <m/>
  </r>
  <r>
    <n v="2008"/>
    <x v="27"/>
    <s v="MEM"/>
    <s v="Donté Greene"/>
    <s v="Syracuse"/>
    <n v="253"/>
    <n v="4259"/>
    <n v="1541"/>
    <n v="600"/>
    <n v="183"/>
    <n v="0.40600000000000003"/>
    <n v="0.30399999999999999"/>
    <n v="0.70099999999999996"/>
    <n v="1.5"/>
    <n v="1.7000000000000001E-2"/>
    <n v="-2.8"/>
    <n v="-0.9"/>
    <n v="16.8"/>
    <n v="6.1"/>
    <n v="2.4"/>
    <n v="0.7"/>
    <x v="3"/>
    <x v="3"/>
    <x v="0"/>
    <n v="5.3571428571428568E-2"/>
    <m/>
  </r>
  <r>
    <n v="2008"/>
    <x v="28"/>
    <s v="DET"/>
    <s v="D.J. White"/>
    <s v="Indiana"/>
    <n v="138"/>
    <n v="2111"/>
    <n v="810"/>
    <n v="437"/>
    <n v="80"/>
    <n v="0.50700000000000001"/>
    <n v="0.33300000000000002"/>
    <n v="0.72"/>
    <n v="3.8"/>
    <n v="8.6999999999999994E-2"/>
    <n v="-2.1"/>
    <n v="0"/>
    <n v="15.3"/>
    <n v="5.9"/>
    <n v="3.2"/>
    <n v="0.6"/>
    <x v="3"/>
    <x v="3"/>
    <x v="0"/>
    <n v="0.13103448275862067"/>
    <m/>
  </r>
  <r>
    <n v="2008"/>
    <x v="29"/>
    <s v="BOS"/>
    <s v="J.R. Giddens"/>
    <s v="New Mexico"/>
    <n v="38"/>
    <n v="247"/>
    <n v="73"/>
    <n v="54"/>
    <n v="13"/>
    <n v="0.47599999999999998"/>
    <n v="0"/>
    <n v="0.56499999999999995"/>
    <n v="0.1"/>
    <n v="2.7E-2"/>
    <n v="-4.3"/>
    <n v="-0.1"/>
    <n v="6.5"/>
    <n v="1.9"/>
    <n v="1.4"/>
    <n v="0.3"/>
    <x v="3"/>
    <x v="3"/>
    <x v="0"/>
    <n v="3.3333333333333335E-3"/>
    <m/>
  </r>
  <r>
    <n v="2009"/>
    <x v="0"/>
    <s v="LAC"/>
    <s v="Blake Griffin"/>
    <s v="Oklahoma"/>
    <n v="716"/>
    <n v="23730"/>
    <n v="14306"/>
    <n v="5935"/>
    <n v="2985"/>
    <n v="0.49299999999999999"/>
    <n v="0.32600000000000001"/>
    <n v="0.69599999999999995"/>
    <n v="79.2"/>
    <n v="0.16"/>
    <n v="3.4"/>
    <n v="32.5"/>
    <n v="33.1"/>
    <n v="20"/>
    <n v="8.3000000000000007"/>
    <n v="4.2"/>
    <x v="0"/>
    <x v="0"/>
    <x v="0"/>
    <n v="79.2"/>
    <m/>
  </r>
  <r>
    <n v="2009"/>
    <x v="1"/>
    <s v="MEM"/>
    <s v="Hasheem Thabeet"/>
    <s v="UConn"/>
    <n v="224"/>
    <n v="2357"/>
    <n v="483"/>
    <n v="595"/>
    <n v="27"/>
    <n v="0.56699999999999995"/>
    <m/>
    <n v="0.57799999999999996"/>
    <n v="4.8"/>
    <n v="9.9000000000000005E-2"/>
    <n v="-2.7"/>
    <n v="-0.4"/>
    <n v="10.5"/>
    <n v="2.2000000000000002"/>
    <n v="2.7"/>
    <n v="0.1"/>
    <x v="0"/>
    <x v="3"/>
    <x v="1"/>
    <n v="2.4"/>
    <m/>
  </r>
  <r>
    <n v="2009"/>
    <x v="2"/>
    <s v="OKC"/>
    <s v="James Harden"/>
    <s v="Arizona State"/>
    <n v="921"/>
    <n v="31825"/>
    <n v="23035"/>
    <n v="5145"/>
    <n v="6177"/>
    <n v="0.443"/>
    <n v="0.36199999999999999"/>
    <n v="0.85899999999999999"/>
    <n v="146.6"/>
    <n v="0.221"/>
    <n v="6.8"/>
    <n v="70.8"/>
    <n v="34.6"/>
    <n v="25"/>
    <n v="5.6"/>
    <n v="6.7"/>
    <x v="0"/>
    <x v="1"/>
    <x v="0"/>
    <n v="48.866666666666667"/>
    <m/>
  </r>
  <r>
    <n v="2009"/>
    <x v="3"/>
    <s v="SAC"/>
    <s v="Tyreke Evans"/>
    <s v="Memphis"/>
    <n v="594"/>
    <n v="18242"/>
    <n v="9347"/>
    <n v="2720"/>
    <n v="2852"/>
    <n v="0.44"/>
    <n v="0.32300000000000001"/>
    <n v="0.75700000000000001"/>
    <n v="28.4"/>
    <n v="7.4999999999999997E-2"/>
    <n v="0.8"/>
    <n v="13.1"/>
    <n v="30.7"/>
    <n v="15.7"/>
    <n v="4.5999999999999996"/>
    <n v="4.8"/>
    <x v="0"/>
    <x v="2"/>
    <x v="0"/>
    <n v="7.1"/>
    <m/>
  </r>
  <r>
    <n v="2009"/>
    <x v="4"/>
    <s v="MIN"/>
    <s v="Ricky Rubio"/>
    <m/>
    <n v="665"/>
    <n v="20128"/>
    <n v="7399"/>
    <n v="2760"/>
    <n v="5045"/>
    <n v="0.38900000000000001"/>
    <n v="0.32600000000000001"/>
    <n v="0.84299999999999997"/>
    <n v="42"/>
    <n v="0.1"/>
    <n v="0.6"/>
    <n v="13.5"/>
    <n v="30.3"/>
    <n v="11.1"/>
    <n v="4.2"/>
    <n v="7.6"/>
    <x v="0"/>
    <x v="0"/>
    <x v="0"/>
    <n v="8.4"/>
    <m/>
  </r>
  <r>
    <n v="2009"/>
    <x v="5"/>
    <s v="MIN"/>
    <s v="Jonny Flynn"/>
    <s v="Syracuse"/>
    <n v="163"/>
    <n v="3738"/>
    <n v="1504"/>
    <n v="307"/>
    <n v="634"/>
    <n v="0.4"/>
    <n v="0.33800000000000002"/>
    <n v="0.80900000000000005"/>
    <n v="-1.1000000000000001"/>
    <n v="-1.4999999999999999E-2"/>
    <n v="-4"/>
    <n v="-1.9"/>
    <n v="22.9"/>
    <n v="9.1999999999999993"/>
    <n v="1.9"/>
    <n v="3.9"/>
    <x v="1"/>
    <x v="3"/>
    <x v="1"/>
    <n v="-0.18333333333333335"/>
    <m/>
  </r>
  <r>
    <n v="2009"/>
    <x v="6"/>
    <s v="GSW"/>
    <s v="Stephen Curry"/>
    <s v="Davidson"/>
    <n v="816"/>
    <n v="28031"/>
    <n v="19827"/>
    <n v="3789"/>
    <n v="5326"/>
    <n v="0.47299999999999998"/>
    <n v="0.42799999999999999"/>
    <n v="0.90800000000000003"/>
    <n v="119.4"/>
    <n v="0.20399999999999999"/>
    <n v="6.5"/>
    <n v="60.4"/>
    <n v="34.4"/>
    <n v="24.3"/>
    <n v="4.5999999999999996"/>
    <n v="6.5"/>
    <x v="1"/>
    <x v="1"/>
    <x v="0"/>
    <n v="17.057142857142857"/>
    <m/>
  </r>
  <r>
    <n v="2009"/>
    <x v="7"/>
    <s v="NYK"/>
    <s v="Jordan Hill"/>
    <s v="Arizona"/>
    <n v="409"/>
    <n v="7692"/>
    <n v="3232"/>
    <n v="2389"/>
    <n v="322"/>
    <n v="0.497"/>
    <n v="0.13600000000000001"/>
    <n v="0.69899999999999995"/>
    <n v="16.399999999999999"/>
    <n v="0.10199999999999999"/>
    <n v="-2"/>
    <n v="0"/>
    <n v="18.8"/>
    <n v="7.9"/>
    <n v="5.8"/>
    <n v="0.8"/>
    <x v="1"/>
    <x v="2"/>
    <x v="0"/>
    <n v="2.0499999999999998"/>
    <m/>
  </r>
  <r>
    <n v="2009"/>
    <x v="8"/>
    <s v="TOR"/>
    <s v="DeMar DeRozan"/>
    <s v="USC"/>
    <n v="936"/>
    <n v="32006"/>
    <n v="19298"/>
    <n v="4122"/>
    <n v="3638"/>
    <n v="0.46500000000000002"/>
    <n v="0.28499999999999998"/>
    <n v="0.83599999999999997"/>
    <n v="82.7"/>
    <n v="0.124"/>
    <n v="0.7"/>
    <n v="22.2"/>
    <n v="34.200000000000003"/>
    <n v="20.6"/>
    <n v="4.4000000000000004"/>
    <n v="3.9"/>
    <x v="1"/>
    <x v="1"/>
    <x v="0"/>
    <n v="9.18888888888889"/>
    <m/>
  </r>
  <r>
    <n v="2009"/>
    <x v="9"/>
    <s v="MIL"/>
    <s v="Brandon Jennings"/>
    <m/>
    <n v="555"/>
    <n v="16844"/>
    <n v="7801"/>
    <n v="1659"/>
    <n v="3151"/>
    <n v="0.38700000000000001"/>
    <n v="0.34499999999999997"/>
    <n v="0.79600000000000004"/>
    <n v="29.9"/>
    <n v="8.5000000000000006E-2"/>
    <n v="0.8"/>
    <n v="11.8"/>
    <n v="30.3"/>
    <n v="14.1"/>
    <n v="3"/>
    <n v="5.7"/>
    <x v="1"/>
    <x v="2"/>
    <x v="0"/>
    <n v="2.9899999999999998"/>
    <m/>
  </r>
  <r>
    <n v="2009"/>
    <x v="10"/>
    <s v="BRK"/>
    <s v="Terrence Williams"/>
    <s v="Louisville"/>
    <n v="153"/>
    <n v="2922"/>
    <n v="1085"/>
    <n v="545"/>
    <n v="364"/>
    <n v="0.41199999999999998"/>
    <n v="0.317"/>
    <n v="0.65900000000000003"/>
    <n v="-0.2"/>
    <n v="-4.0000000000000001E-3"/>
    <n v="-2.8"/>
    <n v="-0.6"/>
    <n v="19.100000000000001"/>
    <n v="7.1"/>
    <n v="3.6"/>
    <n v="2.4"/>
    <x v="1"/>
    <x v="3"/>
    <x v="1"/>
    <n v="-1.8181818181818184E-2"/>
    <m/>
  </r>
  <r>
    <n v="2009"/>
    <x v="11"/>
    <s v="CHA"/>
    <s v="Gerald Henderson"/>
    <s v="Duke"/>
    <n v="535"/>
    <n v="13854"/>
    <n v="5987"/>
    <n v="1716"/>
    <n v="1009"/>
    <n v="0.44"/>
    <n v="0.32700000000000001"/>
    <n v="0.79300000000000004"/>
    <n v="18.3"/>
    <n v="6.3E-2"/>
    <n v="-1.8"/>
    <n v="0.6"/>
    <n v="25.9"/>
    <n v="11.2"/>
    <n v="3.2"/>
    <n v="1.9"/>
    <x v="1"/>
    <x v="2"/>
    <x v="0"/>
    <n v="1.5250000000000001"/>
    <m/>
  </r>
  <r>
    <n v="2009"/>
    <x v="12"/>
    <s v="IND"/>
    <s v="Tyler Hansbrough"/>
    <s v="UNC"/>
    <n v="428"/>
    <n v="7233"/>
    <n v="2881"/>
    <n v="1808"/>
    <n v="181"/>
    <n v="0.439"/>
    <n v="0.13600000000000001"/>
    <n v="0.73799999999999999"/>
    <n v="20.2"/>
    <n v="0.13400000000000001"/>
    <n v="-2"/>
    <n v="0"/>
    <n v="16.899999999999999"/>
    <n v="6.7"/>
    <n v="4.2"/>
    <n v="0.4"/>
    <x v="1"/>
    <x v="2"/>
    <x v="0"/>
    <n v="1.5538461538461539"/>
    <m/>
  </r>
  <r>
    <n v="2009"/>
    <x v="13"/>
    <s v="PHO"/>
    <s v="Earl Clark"/>
    <s v="Louisville"/>
    <n v="261"/>
    <n v="3630"/>
    <n v="1138"/>
    <n v="778"/>
    <n v="134"/>
    <n v="0.40300000000000002"/>
    <n v="0.32800000000000001"/>
    <n v="0.66400000000000003"/>
    <n v="2.9"/>
    <n v="3.7999999999999999E-2"/>
    <n v="-2.8"/>
    <n v="-0.8"/>
    <n v="13.9"/>
    <n v="4.4000000000000004"/>
    <n v="3"/>
    <n v="0.5"/>
    <x v="1"/>
    <x v="3"/>
    <x v="1"/>
    <n v="0.20714285714285713"/>
    <m/>
  </r>
  <r>
    <n v="2009"/>
    <x v="14"/>
    <s v="DET"/>
    <s v="Austin Daye"/>
    <s v="Gonzaga"/>
    <n v="293"/>
    <n v="4132"/>
    <n v="1522"/>
    <n v="764"/>
    <n v="212"/>
    <n v="0.40200000000000002"/>
    <n v="0.35099999999999998"/>
    <n v="0.77800000000000002"/>
    <n v="4.5"/>
    <n v="5.2999999999999999E-2"/>
    <n v="-2"/>
    <n v="0"/>
    <n v="14.1"/>
    <n v="5.2"/>
    <n v="2.6"/>
    <n v="0.7"/>
    <x v="2"/>
    <x v="3"/>
    <x v="0"/>
    <n v="0.3"/>
    <m/>
  </r>
  <r>
    <n v="2009"/>
    <x v="15"/>
    <s v="CHI"/>
    <s v="James Johnson"/>
    <s v="Wake Forest"/>
    <n v="728"/>
    <n v="14953"/>
    <n v="5677"/>
    <n v="2614"/>
    <n v="1538"/>
    <n v="0.47499999999999998"/>
    <n v="0.30199999999999999"/>
    <n v="0.68"/>
    <n v="27"/>
    <n v="8.6999999999999994E-2"/>
    <n v="0.5"/>
    <n v="9.4"/>
    <n v="20.5"/>
    <n v="7.8"/>
    <n v="3.6"/>
    <n v="2.1"/>
    <x v="2"/>
    <x v="2"/>
    <x v="0"/>
    <n v="1.6875"/>
    <m/>
  </r>
  <r>
    <n v="2009"/>
    <x v="16"/>
    <s v="PHI"/>
    <s v="Jrue Holiday"/>
    <s v="UCLA"/>
    <n v="819"/>
    <n v="27163"/>
    <n v="13212"/>
    <n v="3276"/>
    <n v="5225"/>
    <n v="0.46"/>
    <n v="0.36099999999999999"/>
    <n v="0.77700000000000002"/>
    <n v="54.5"/>
    <n v="9.6000000000000002E-2"/>
    <n v="1.5"/>
    <n v="23.7"/>
    <n v="33.200000000000003"/>
    <n v="16.100000000000001"/>
    <n v="4"/>
    <n v="6.4"/>
    <x v="2"/>
    <x v="0"/>
    <x v="0"/>
    <n v="3.2058823529411766"/>
    <m/>
  </r>
  <r>
    <n v="2009"/>
    <x v="17"/>
    <s v="MIN"/>
    <s v="Ty Lawson"/>
    <s v="UNC"/>
    <n v="551"/>
    <n v="16088"/>
    <n v="6977"/>
    <n v="1506"/>
    <n v="3316"/>
    <n v="0.46"/>
    <n v="0.35899999999999999"/>
    <n v="0.77"/>
    <n v="42.1"/>
    <n v="0.126"/>
    <n v="1.4"/>
    <n v="13.6"/>
    <n v="29.2"/>
    <n v="12.7"/>
    <n v="2.7"/>
    <n v="6"/>
    <x v="2"/>
    <x v="0"/>
    <x v="0"/>
    <n v="2.338888888888889"/>
    <m/>
  </r>
  <r>
    <n v="2009"/>
    <x v="18"/>
    <s v="ATL"/>
    <s v="Jeff Teague"/>
    <s v="Wake Forest"/>
    <n v="826"/>
    <n v="22164"/>
    <n v="10061"/>
    <n v="1989"/>
    <n v="4585"/>
    <n v="0.44400000000000001"/>
    <n v="0.36"/>
    <n v="0.84399999999999997"/>
    <n v="52.4"/>
    <n v="0.113"/>
    <n v="0.6"/>
    <n v="14.3"/>
    <n v="26.8"/>
    <n v="12.2"/>
    <n v="2.4"/>
    <n v="5.6"/>
    <x v="2"/>
    <x v="0"/>
    <x v="0"/>
    <n v="2.7578947368421054"/>
    <m/>
  </r>
  <r>
    <n v="2009"/>
    <x v="19"/>
    <s v="UTA"/>
    <s v="Eric Maynor"/>
    <s v="VCU"/>
    <n v="267"/>
    <n v="3896"/>
    <n v="1141"/>
    <n v="348"/>
    <n v="760"/>
    <n v="0.39200000000000002"/>
    <n v="0.35"/>
    <n v="0.72099999999999997"/>
    <n v="3.3"/>
    <n v="4.1000000000000002E-2"/>
    <n v="-2.9"/>
    <n v="-0.8"/>
    <n v="14.6"/>
    <n v="4.3"/>
    <n v="1.3"/>
    <n v="2.8"/>
    <x v="2"/>
    <x v="3"/>
    <x v="0"/>
    <n v="0.16499999999999998"/>
    <m/>
  </r>
  <r>
    <n v="2009"/>
    <x v="20"/>
    <s v="NOP"/>
    <s v="Darren Collison"/>
    <s v="UCLA"/>
    <n v="711"/>
    <n v="20833"/>
    <n v="8861"/>
    <n v="1889"/>
    <n v="3545"/>
    <n v="0.47099999999999997"/>
    <n v="0.39400000000000002"/>
    <n v="0.85299999999999998"/>
    <n v="49.9"/>
    <n v="0.115"/>
    <n v="0.5"/>
    <n v="13.4"/>
    <n v="29.3"/>
    <n v="12.5"/>
    <n v="2.7"/>
    <n v="5"/>
    <x v="3"/>
    <x v="0"/>
    <x v="0"/>
    <n v="2.3761904761904762"/>
    <m/>
  </r>
  <r>
    <n v="2009"/>
    <x v="21"/>
    <s v="POR"/>
    <s v="Victor Claver"/>
    <m/>
    <n v="80"/>
    <n v="1072"/>
    <n v="258"/>
    <n v="178"/>
    <n v="56"/>
    <n v="0.39800000000000002"/>
    <n v="0.29299999999999998"/>
    <n v="0.58499999999999996"/>
    <n v="0.2"/>
    <n v="1.0999999999999999E-2"/>
    <n v="-3.6"/>
    <n v="-0.4"/>
    <n v="13.4"/>
    <n v="3.2"/>
    <n v="2.2000000000000002"/>
    <n v="0.7"/>
    <x v="3"/>
    <x v="3"/>
    <x v="0"/>
    <n v="9.0909090909090922E-3"/>
    <m/>
  </r>
  <r>
    <n v="2009"/>
    <x v="22"/>
    <s v="SAC"/>
    <s v="Omri Casspi"/>
    <m/>
    <n v="588"/>
    <n v="11959"/>
    <n v="4642"/>
    <n v="2355"/>
    <n v="662"/>
    <n v="0.45400000000000001"/>
    <n v="0.36799999999999999"/>
    <n v="0.67800000000000005"/>
    <n v="19.600000000000001"/>
    <n v="7.8E-2"/>
    <n v="-0.8"/>
    <n v="3.5"/>
    <n v="20.3"/>
    <n v="7.9"/>
    <n v="4"/>
    <n v="1.1000000000000001"/>
    <x v="3"/>
    <x v="2"/>
    <x v="0"/>
    <n v="0.85217391304347834"/>
    <m/>
  </r>
  <r>
    <n v="2009"/>
    <x v="23"/>
    <s v="DAL"/>
    <s v="Byron Mullens"/>
    <s v="Ohio State"/>
    <n v="189"/>
    <n v="3446"/>
    <n v="1398"/>
    <n v="790"/>
    <n v="153"/>
    <n v="0.40799999999999997"/>
    <n v="0.31900000000000001"/>
    <n v="0.70599999999999996"/>
    <n v="0.6"/>
    <n v="8.0000000000000002E-3"/>
    <n v="-4"/>
    <n v="-1.8"/>
    <n v="18.2"/>
    <n v="7.4"/>
    <n v="4.2"/>
    <n v="0.8"/>
    <x v="3"/>
    <x v="3"/>
    <x v="0"/>
    <n v="2.4999999999999998E-2"/>
    <m/>
  </r>
  <r>
    <n v="2009"/>
    <x v="24"/>
    <s v="OKC"/>
    <s v="Rodrigue Beaubois"/>
    <m/>
    <n v="182"/>
    <n v="2896"/>
    <n v="1286"/>
    <n v="338"/>
    <n v="374"/>
    <n v="0.439"/>
    <n v="0.32500000000000001"/>
    <n v="0.81"/>
    <n v="4.8"/>
    <n v="7.9000000000000001E-2"/>
    <n v="-0.1"/>
    <n v="1.4"/>
    <n v="15.9"/>
    <n v="7.1"/>
    <n v="1.9"/>
    <n v="2.1"/>
    <x v="3"/>
    <x v="3"/>
    <x v="0"/>
    <n v="0.192"/>
    <m/>
  </r>
  <r>
    <n v="2009"/>
    <x v="25"/>
    <s v="CHI"/>
    <s v="Taj Gibson"/>
    <s v="USC"/>
    <n v="883"/>
    <n v="21742"/>
    <n v="8012"/>
    <n v="5423"/>
    <n v="873"/>
    <n v="0.51800000000000002"/>
    <n v="0.23899999999999999"/>
    <n v="0.71099999999999997"/>
    <n v="57.9"/>
    <n v="0.128"/>
    <n v="-0.7"/>
    <n v="7"/>
    <n v="24.6"/>
    <n v="9.1"/>
    <n v="6.1"/>
    <n v="1"/>
    <x v="3"/>
    <x v="0"/>
    <x v="0"/>
    <n v="2.226923076923077"/>
    <m/>
  </r>
  <r>
    <n v="2009"/>
    <x v="26"/>
    <s v="MEM"/>
    <s v="DeMarre Carroll"/>
    <s v="Missouri"/>
    <n v="578"/>
    <n v="13675"/>
    <n v="5150"/>
    <n v="2454"/>
    <n v="726"/>
    <n v="0.43"/>
    <n v="0.35799999999999998"/>
    <n v="0.74099999999999999"/>
    <n v="29.5"/>
    <n v="0.104"/>
    <n v="0"/>
    <n v="6.7"/>
    <n v="23.7"/>
    <n v="8.9"/>
    <n v="4.2"/>
    <n v="1.3"/>
    <x v="3"/>
    <x v="2"/>
    <x v="0"/>
    <n v="1.0925925925925926"/>
    <m/>
  </r>
  <r>
    <n v="2009"/>
    <x v="27"/>
    <s v="MIN"/>
    <s v="Wayne Ellington"/>
    <s v="UNC"/>
    <n v="762"/>
    <n v="15951"/>
    <n v="6118"/>
    <n v="1626"/>
    <n v="846"/>
    <n v="0.41"/>
    <n v="0.38200000000000001"/>
    <n v="0.84299999999999997"/>
    <n v="20.9"/>
    <n v="6.3E-2"/>
    <n v="-1.5"/>
    <n v="2.1"/>
    <n v="20.9"/>
    <n v="8"/>
    <n v="2.1"/>
    <n v="1.1000000000000001"/>
    <x v="3"/>
    <x v="2"/>
    <x v="0"/>
    <n v="0.74642857142857133"/>
    <m/>
  </r>
  <r>
    <n v="2009"/>
    <x v="28"/>
    <s v="LAL"/>
    <s v="Toney Douglas"/>
    <s v="Florida State"/>
    <n v="394"/>
    <n v="7511"/>
    <n v="3009"/>
    <n v="875"/>
    <n v="889"/>
    <n v="0.40400000000000003"/>
    <n v="0.35399999999999998"/>
    <n v="0.82399999999999995"/>
    <n v="12.1"/>
    <n v="7.6999999999999999E-2"/>
    <n v="-0.8"/>
    <n v="2.2000000000000002"/>
    <n v="19.100000000000001"/>
    <n v="7.6"/>
    <n v="2.2000000000000002"/>
    <n v="2.2999999999999998"/>
    <x v="3"/>
    <x v="2"/>
    <x v="0"/>
    <n v="0.41724137931034483"/>
    <m/>
  </r>
  <r>
    <n v="2009"/>
    <x v="29"/>
    <s v="CLE"/>
    <s v="Christian Eyenga"/>
    <m/>
    <n v="51"/>
    <n v="1049"/>
    <n v="320"/>
    <n v="137"/>
    <n v="40"/>
    <n v="0.41099999999999998"/>
    <n v="0.27700000000000002"/>
    <n v="0.61099999999999999"/>
    <n v="-0.4"/>
    <n v="-0.02"/>
    <n v="-4.2"/>
    <n v="-0.6"/>
    <n v="20.6"/>
    <n v="6.3"/>
    <n v="2.7"/>
    <n v="0.8"/>
    <x v="3"/>
    <x v="3"/>
    <x v="0"/>
    <n v="-1.3333333333333334E-2"/>
    <m/>
  </r>
  <r>
    <n v="2010"/>
    <x v="0"/>
    <s v="WAS"/>
    <s v="John Wall"/>
    <s v="Kentucky"/>
    <n v="613"/>
    <n v="21833"/>
    <n v="11702"/>
    <n v="2612"/>
    <n v="5557"/>
    <n v="0.43099999999999999"/>
    <n v="0.32300000000000001"/>
    <n v="0.77900000000000003"/>
    <n v="44.1"/>
    <n v="9.7000000000000003E-2"/>
    <n v="2.4"/>
    <n v="24"/>
    <n v="35.6"/>
    <n v="19.100000000000001"/>
    <n v="4.3"/>
    <n v="9.1"/>
    <x v="0"/>
    <x v="0"/>
    <x v="0"/>
    <n v="44.1"/>
    <m/>
  </r>
  <r>
    <n v="2010"/>
    <x v="1"/>
    <s v="PHI"/>
    <s v="Evan Turner"/>
    <s v="Ohio State"/>
    <n v="705"/>
    <n v="18938"/>
    <n v="6824"/>
    <n v="3278"/>
    <n v="2462"/>
    <n v="0.434"/>
    <n v="0.29399999999999998"/>
    <n v="0.78200000000000003"/>
    <n v="20.2"/>
    <n v="5.0999999999999997E-2"/>
    <n v="-1.9"/>
    <n v="0.5"/>
    <n v="26.9"/>
    <n v="9.6999999999999993"/>
    <n v="4.5999999999999996"/>
    <n v="3.5"/>
    <x v="0"/>
    <x v="2"/>
    <x v="0"/>
    <n v="10.1"/>
    <m/>
  </r>
  <r>
    <n v="2010"/>
    <x v="2"/>
    <s v="BRK"/>
    <s v="Derrick Favors"/>
    <s v="Georgia Tech"/>
    <n v="789"/>
    <n v="19184"/>
    <n v="8348"/>
    <n v="5605"/>
    <n v="850"/>
    <n v="0.53400000000000003"/>
    <n v="0.19800000000000001"/>
    <n v="0.66300000000000003"/>
    <n v="60.3"/>
    <n v="0.151"/>
    <n v="0.9"/>
    <n v="13.9"/>
    <n v="24.3"/>
    <n v="10.6"/>
    <n v="7.1"/>
    <n v="1.1000000000000001"/>
    <x v="0"/>
    <x v="0"/>
    <x v="0"/>
    <n v="20.099999999999998"/>
    <m/>
  </r>
  <r>
    <n v="2010"/>
    <x v="3"/>
    <s v="MIN"/>
    <s v="Wesley Johnson"/>
    <s v="Syracuse"/>
    <n v="609"/>
    <n v="13472"/>
    <n v="4235"/>
    <n v="1924"/>
    <n v="645"/>
    <n v="0.40400000000000003"/>
    <n v="0.33700000000000002"/>
    <n v="0.74099999999999999"/>
    <n v="10.7"/>
    <n v="3.7999999999999999E-2"/>
    <n v="-1.6"/>
    <n v="1.2"/>
    <n v="22.1"/>
    <n v="7"/>
    <n v="3.2"/>
    <n v="1.1000000000000001"/>
    <x v="0"/>
    <x v="2"/>
    <x v="0"/>
    <n v="2.6749999999999998"/>
    <m/>
  </r>
  <r>
    <n v="2010"/>
    <x v="4"/>
    <s v="SAC"/>
    <s v="DeMarcus Cousins"/>
    <s v="Kentucky"/>
    <n v="631"/>
    <n v="19183"/>
    <n v="12575"/>
    <n v="6542"/>
    <n v="1935"/>
    <n v="0.45900000000000002"/>
    <n v="0.33"/>
    <n v="0.73699999999999999"/>
    <n v="46"/>
    <n v="0.115"/>
    <n v="2.5"/>
    <n v="21.5"/>
    <n v="30.4"/>
    <n v="19.899999999999999"/>
    <n v="10.4"/>
    <n v="3.1"/>
    <x v="0"/>
    <x v="0"/>
    <x v="0"/>
    <n v="9.1999999999999993"/>
    <m/>
  </r>
  <r>
    <n v="2010"/>
    <x v="5"/>
    <s v="GSW"/>
    <s v="Ekpe Udoh"/>
    <s v="Baylor"/>
    <n v="384"/>
    <n v="5694"/>
    <n v="1353"/>
    <n v="1100"/>
    <n v="260"/>
    <n v="0.45300000000000001"/>
    <n v="0"/>
    <n v="0.71799999999999997"/>
    <n v="10.4"/>
    <n v="8.7999999999999995E-2"/>
    <n v="-1.4"/>
    <n v="0.8"/>
    <n v="14.8"/>
    <n v="3.5"/>
    <n v="2.9"/>
    <n v="0.7"/>
    <x v="1"/>
    <x v="2"/>
    <x v="0"/>
    <n v="1.7333333333333334"/>
    <m/>
  </r>
  <r>
    <n v="2010"/>
    <x v="6"/>
    <s v="DET"/>
    <s v="Greg Monroe"/>
    <s v="Georgetown"/>
    <n v="642"/>
    <n v="17626"/>
    <n v="8381"/>
    <n v="5281"/>
    <n v="1368"/>
    <n v="0.51400000000000001"/>
    <n v="5.8999999999999997E-2"/>
    <n v="0.70299999999999996"/>
    <n v="50.1"/>
    <n v="0.13700000000000001"/>
    <n v="1.4"/>
    <n v="15.2"/>
    <n v="27.5"/>
    <n v="13.1"/>
    <n v="8.1999999999999993"/>
    <n v="2.1"/>
    <x v="1"/>
    <x v="0"/>
    <x v="0"/>
    <n v="7.1571428571428575"/>
    <m/>
  </r>
  <r>
    <n v="2010"/>
    <x v="7"/>
    <s v="LAC"/>
    <s v="Al-Farouq Aminu"/>
    <s v="Wake Forest"/>
    <n v="711"/>
    <n v="17698"/>
    <n v="5350"/>
    <n v="4280"/>
    <n v="879"/>
    <n v="0.42"/>
    <n v="0.33200000000000002"/>
    <n v="0.746"/>
    <n v="27.6"/>
    <n v="7.4999999999999997E-2"/>
    <n v="-0.6"/>
    <n v="6.5"/>
    <n v="24.9"/>
    <n v="7.5"/>
    <n v="6"/>
    <n v="1.2"/>
    <x v="1"/>
    <x v="2"/>
    <x v="0"/>
    <n v="3.45"/>
    <m/>
  </r>
  <r>
    <n v="2010"/>
    <x v="8"/>
    <s v="UTA"/>
    <s v="Gordon Hayward"/>
    <s v="Butler"/>
    <n v="733"/>
    <n v="22815"/>
    <n v="11449"/>
    <n v="3299"/>
    <n v="2572"/>
    <n v="0.45300000000000001"/>
    <n v="0.371"/>
    <n v="0.82599999999999996"/>
    <n v="60.2"/>
    <n v="0.127"/>
    <n v="2"/>
    <n v="22.8"/>
    <n v="31.1"/>
    <n v="15.6"/>
    <n v="4.5"/>
    <n v="3.5"/>
    <x v="1"/>
    <x v="0"/>
    <x v="0"/>
    <n v="6.6888888888888891"/>
    <m/>
  </r>
  <r>
    <n v="2010"/>
    <x v="9"/>
    <s v="IND"/>
    <s v="Paul George"/>
    <s v="Fresno State"/>
    <n v="732"/>
    <n v="24588"/>
    <n v="14916"/>
    <n v="4707"/>
    <n v="2607"/>
    <n v="0.436"/>
    <n v="0.38100000000000001"/>
    <n v="0.84899999999999998"/>
    <n v="76.099999999999994"/>
    <n v="0.14899999999999999"/>
    <n v="4.0999999999999996"/>
    <n v="37.6"/>
    <n v="33.6"/>
    <n v="20.399999999999999"/>
    <n v="6.4"/>
    <n v="3.6"/>
    <x v="1"/>
    <x v="0"/>
    <x v="0"/>
    <n v="7.6099999999999994"/>
    <m/>
  </r>
  <r>
    <n v="2010"/>
    <x v="10"/>
    <s v="NOP"/>
    <s v="Cole Aldrich"/>
    <s v="Kansas"/>
    <n v="339"/>
    <n v="3389"/>
    <n v="1050"/>
    <n v="1131"/>
    <n v="183"/>
    <n v="0.52700000000000002"/>
    <m/>
    <n v="0.73799999999999999"/>
    <n v="9.6"/>
    <n v="0.13500000000000001"/>
    <n v="0.1"/>
    <n v="1.8"/>
    <n v="10"/>
    <n v="3.1"/>
    <n v="3.3"/>
    <n v="0.5"/>
    <x v="1"/>
    <x v="3"/>
    <x v="1"/>
    <n v="0.87272727272727268"/>
    <m/>
  </r>
  <r>
    <n v="2010"/>
    <x v="11"/>
    <s v="MEM"/>
    <s v="Xavier Henry"/>
    <s v="Kansas"/>
    <n v="185"/>
    <n v="2905"/>
    <n v="1050"/>
    <n v="351"/>
    <n v="120"/>
    <n v="0.40600000000000003"/>
    <n v="0.32500000000000001"/>
    <n v="0.63500000000000001"/>
    <n v="0.8"/>
    <n v="1.2999999999999999E-2"/>
    <n v="-4.4000000000000004"/>
    <n v="-1.7"/>
    <n v="15.7"/>
    <n v="5.7"/>
    <n v="1.9"/>
    <n v="0.6"/>
    <x v="1"/>
    <x v="3"/>
    <x v="1"/>
    <n v="6.6666666666666666E-2"/>
    <m/>
  </r>
  <r>
    <n v="2010"/>
    <x v="12"/>
    <s v="TOR"/>
    <s v="Ed Davis"/>
    <s v="UNC"/>
    <n v="710"/>
    <n v="13697"/>
    <n v="4284"/>
    <n v="4596"/>
    <n v="537"/>
    <n v="0.56699999999999995"/>
    <n v="0"/>
    <n v="0.58399999999999996"/>
    <n v="43.1"/>
    <n v="0.151"/>
    <n v="-0.2"/>
    <n v="6.2"/>
    <n v="19.3"/>
    <n v="6"/>
    <n v="6.5"/>
    <n v="0.8"/>
    <x v="1"/>
    <x v="0"/>
    <x v="0"/>
    <n v="3.3153846153846156"/>
    <m/>
  </r>
  <r>
    <n v="2010"/>
    <x v="13"/>
    <s v="HOU"/>
    <s v="Patrick Patterson"/>
    <s v="Kentucky"/>
    <n v="719"/>
    <n v="14923"/>
    <n v="4782"/>
    <n v="2799"/>
    <n v="736"/>
    <n v="0.44700000000000001"/>
    <n v="0.36899999999999999"/>
    <n v="0.755"/>
    <n v="31.9"/>
    <n v="0.10199999999999999"/>
    <n v="0"/>
    <n v="7.4"/>
    <n v="20.8"/>
    <n v="6.7"/>
    <n v="3.9"/>
    <n v="1"/>
    <x v="1"/>
    <x v="0"/>
    <x v="0"/>
    <n v="2.2785714285714285"/>
    <m/>
  </r>
  <r>
    <n v="2010"/>
    <x v="14"/>
    <s v="MIL"/>
    <s v="Larry Sanders"/>
    <s v="VCU"/>
    <n v="238"/>
    <n v="4635"/>
    <n v="1520"/>
    <n v="1345"/>
    <n v="174"/>
    <n v="0.48"/>
    <n v="0"/>
    <n v="0.55300000000000005"/>
    <n v="10.3"/>
    <n v="0.107"/>
    <n v="-1.1000000000000001"/>
    <n v="1.1000000000000001"/>
    <n v="19.5"/>
    <n v="6.4"/>
    <n v="5.7"/>
    <n v="0.7"/>
    <x v="2"/>
    <x v="2"/>
    <x v="0"/>
    <n v="0.68666666666666676"/>
    <m/>
  </r>
  <r>
    <n v="2010"/>
    <x v="15"/>
    <s v="MIN"/>
    <s v="Luke Babbitt"/>
    <s v="Nevada"/>
    <n v="381"/>
    <n v="5332"/>
    <n v="1818"/>
    <n v="846"/>
    <n v="224"/>
    <n v="0.40799999999999997"/>
    <n v="0.40200000000000002"/>
    <n v="0.747"/>
    <n v="7.2"/>
    <n v="6.5000000000000002E-2"/>
    <n v="-2.1"/>
    <n v="-0.1"/>
    <n v="14"/>
    <n v="4.8"/>
    <n v="2.2000000000000002"/>
    <n v="0.6"/>
    <x v="2"/>
    <x v="3"/>
    <x v="0"/>
    <n v="0.45"/>
    <m/>
  </r>
  <r>
    <n v="2010"/>
    <x v="16"/>
    <s v="CHI"/>
    <s v="Kevin Séraphin"/>
    <m/>
    <n v="423"/>
    <n v="6430"/>
    <n v="2516"/>
    <n v="1462"/>
    <n v="246"/>
    <n v="0.48899999999999999"/>
    <n v="0"/>
    <n v="0.71499999999999997"/>
    <n v="5.9"/>
    <n v="4.3999999999999997E-2"/>
    <n v="-4.3"/>
    <n v="-3.6"/>
    <n v="15.2"/>
    <n v="5.9"/>
    <n v="3.5"/>
    <n v="0.6"/>
    <x v="2"/>
    <x v="3"/>
    <x v="0"/>
    <n v="0.34705882352941181"/>
    <m/>
  </r>
  <r>
    <n v="2010"/>
    <x v="17"/>
    <s v="OKC"/>
    <s v="Eric Bledsoe"/>
    <s v="Kentucky"/>
    <n v="756"/>
    <n v="21021"/>
    <n v="10348"/>
    <n v="2937"/>
    <n v="3545"/>
    <n v="0.45200000000000001"/>
    <n v="0.33600000000000002"/>
    <n v="0.78400000000000003"/>
    <n v="46.2"/>
    <n v="0.105"/>
    <n v="1.6"/>
    <n v="18.899999999999999"/>
    <n v="27.8"/>
    <n v="13.7"/>
    <n v="3.9"/>
    <n v="4.7"/>
    <x v="2"/>
    <x v="0"/>
    <x v="0"/>
    <n v="2.5666666666666669"/>
    <m/>
  </r>
  <r>
    <n v="2010"/>
    <x v="18"/>
    <s v="BOS"/>
    <s v="Avery Bradley"/>
    <s v="Texas"/>
    <n v="647"/>
    <n v="17910"/>
    <n v="7210"/>
    <n v="1840"/>
    <n v="1099"/>
    <n v="0.434"/>
    <n v="0.36399999999999999"/>
    <n v="0.78200000000000003"/>
    <n v="17"/>
    <n v="4.5999999999999999E-2"/>
    <n v="-2.4"/>
    <n v="-1.7"/>
    <n v="27.7"/>
    <n v="11.1"/>
    <n v="2.8"/>
    <n v="1.7"/>
    <x v="2"/>
    <x v="2"/>
    <x v="0"/>
    <n v="0.89473684210526316"/>
    <m/>
  </r>
  <r>
    <n v="2010"/>
    <x v="19"/>
    <s v="SAS"/>
    <s v="James Anderson"/>
    <s v="Oklahoma State"/>
    <n v="247"/>
    <n v="4320"/>
    <n v="1422"/>
    <n v="560"/>
    <n v="291"/>
    <n v="0.41099999999999998"/>
    <n v="0.32100000000000001"/>
    <n v="0.755"/>
    <n v="3.3"/>
    <n v="3.6999999999999998E-2"/>
    <n v="-2.7"/>
    <n v="-0.8"/>
    <n v="17.5"/>
    <n v="5.8"/>
    <n v="2.2999999999999998"/>
    <n v="1.2"/>
    <x v="2"/>
    <x v="3"/>
    <x v="0"/>
    <n v="0.16499999999999998"/>
    <m/>
  </r>
  <r>
    <n v="2010"/>
    <x v="20"/>
    <s v="OKC"/>
    <s v="Craig Brackins"/>
    <s v="Iowa State"/>
    <n v="17"/>
    <n v="121"/>
    <n v="30"/>
    <n v="19"/>
    <n v="9"/>
    <n v="0.26500000000000001"/>
    <n v="0.214"/>
    <n v="0.5"/>
    <n v="-0.2"/>
    <n v="-8.8999999999999996E-2"/>
    <n v="-9.9"/>
    <n v="-0.2"/>
    <n v="7.1"/>
    <n v="1.8"/>
    <n v="1.1000000000000001"/>
    <n v="0.5"/>
    <x v="3"/>
    <x v="3"/>
    <x v="0"/>
    <n v="-9.5238095238095247E-3"/>
    <m/>
  </r>
  <r>
    <n v="2010"/>
    <x v="21"/>
    <s v="POR"/>
    <s v="Elliot Williams"/>
    <s v="Memphis"/>
    <n v="109"/>
    <n v="1470"/>
    <n v="537"/>
    <n v="161"/>
    <n v="94"/>
    <n v="0.42099999999999999"/>
    <n v="0.31"/>
    <n v="0.66900000000000004"/>
    <n v="0.7"/>
    <n v="2.4E-2"/>
    <n v="-4.9000000000000004"/>
    <n v="-1.1000000000000001"/>
    <n v="13.5"/>
    <n v="4.9000000000000004"/>
    <n v="1.5"/>
    <n v="0.9"/>
    <x v="3"/>
    <x v="3"/>
    <x v="0"/>
    <n v="3.1818181818181815E-2"/>
    <m/>
  </r>
  <r>
    <n v="2010"/>
    <x v="22"/>
    <s v="MIN"/>
    <s v="Trevor Booker"/>
    <s v="Clemson"/>
    <n v="532"/>
    <n v="10872"/>
    <n v="3679"/>
    <n v="2932"/>
    <n v="566"/>
    <n v="0.51500000000000001"/>
    <n v="0.30499999999999999"/>
    <n v="0.63600000000000001"/>
    <n v="26.2"/>
    <n v="0.11600000000000001"/>
    <n v="-0.5"/>
    <n v="4.2"/>
    <n v="20.399999999999999"/>
    <n v="6.9"/>
    <n v="5.5"/>
    <n v="1.1000000000000001"/>
    <x v="3"/>
    <x v="2"/>
    <x v="0"/>
    <n v="1.1391304347826086"/>
    <m/>
  </r>
  <r>
    <n v="2010"/>
    <x v="23"/>
    <s v="ATL"/>
    <s v="Damion James"/>
    <s v="Texas"/>
    <n v="39"/>
    <n v="623"/>
    <n v="150"/>
    <n v="131"/>
    <n v="26"/>
    <n v="0.41499999999999998"/>
    <n v="0"/>
    <n v="0.66700000000000004"/>
    <n v="0"/>
    <n v="-1E-3"/>
    <n v="-3.7"/>
    <n v="-0.3"/>
    <n v="16"/>
    <n v="3.8"/>
    <n v="3.4"/>
    <n v="0.7"/>
    <x v="3"/>
    <x v="3"/>
    <x v="0"/>
    <n v="0"/>
    <m/>
  </r>
  <r>
    <n v="2010"/>
    <x v="24"/>
    <s v="MEM"/>
    <s v="Dominique Jones"/>
    <s v="South Florida"/>
    <n v="80"/>
    <n v="741"/>
    <n v="246"/>
    <n v="114"/>
    <n v="144"/>
    <n v="0.36599999999999999"/>
    <n v="9.5000000000000001E-2"/>
    <n v="0.72899999999999998"/>
    <n v="0.3"/>
    <n v="1.7000000000000001E-2"/>
    <n v="-2.4"/>
    <n v="-0.1"/>
    <n v="9.3000000000000007"/>
    <n v="3.1"/>
    <n v="1.4"/>
    <n v="1.8"/>
    <x v="3"/>
    <x v="3"/>
    <x v="0"/>
    <n v="1.2E-2"/>
    <m/>
  </r>
  <r>
    <n v="2010"/>
    <x v="25"/>
    <s v="OKC"/>
    <s v="Quincy Pondexter"/>
    <s v="Washington"/>
    <n v="355"/>
    <n v="5530"/>
    <n v="1609"/>
    <n v="640"/>
    <n v="263"/>
    <n v="0.42299999999999999"/>
    <n v="0.35599999999999998"/>
    <n v="0.746"/>
    <n v="9.6999999999999993"/>
    <n v="8.4000000000000005E-2"/>
    <n v="-1.8"/>
    <n v="0.3"/>
    <n v="15.6"/>
    <n v="4.5"/>
    <n v="1.8"/>
    <n v="0.7"/>
    <x v="3"/>
    <x v="3"/>
    <x v="0"/>
    <n v="0.37307692307692303"/>
    <m/>
  </r>
  <r>
    <n v="2010"/>
    <x v="26"/>
    <s v="BRK"/>
    <s v="Jordan Crawford"/>
    <s v="Xavier"/>
    <n v="281"/>
    <n v="6843"/>
    <n v="3432"/>
    <n v="703"/>
    <n v="883"/>
    <n v="0.41099999999999998"/>
    <n v="0.317"/>
    <n v="0.82599999999999996"/>
    <n v="6.3"/>
    <n v="4.3999999999999997E-2"/>
    <n v="-1.3"/>
    <n v="1.3"/>
    <n v="24.4"/>
    <n v="12.2"/>
    <n v="2.5"/>
    <n v="3.1"/>
    <x v="3"/>
    <x v="3"/>
    <x v="0"/>
    <n v="0.23333333333333334"/>
    <m/>
  </r>
  <r>
    <n v="2010"/>
    <x v="27"/>
    <s v="MEM"/>
    <s v="Greivis Vásquez"/>
    <s v="Maryland"/>
    <n v="401"/>
    <n v="9520"/>
    <n v="3591"/>
    <n v="1021"/>
    <n v="1935"/>
    <n v="0.41799999999999998"/>
    <n v="0.34899999999999998"/>
    <n v="0.81699999999999995"/>
    <n v="12.6"/>
    <n v="6.4000000000000001E-2"/>
    <n v="-1.2"/>
    <n v="1.8"/>
    <n v="23.7"/>
    <n v="9"/>
    <n v="2.5"/>
    <n v="4.8"/>
    <x v="3"/>
    <x v="2"/>
    <x v="0"/>
    <n v="0.45"/>
    <m/>
  </r>
  <r>
    <n v="2010"/>
    <x v="28"/>
    <s v="ORL"/>
    <s v="Daniel Orton"/>
    <s v="Kentucky"/>
    <n v="51"/>
    <n v="542"/>
    <n v="143"/>
    <n v="126"/>
    <n v="24"/>
    <n v="0.48499999999999999"/>
    <n v="0"/>
    <n v="0.59699999999999998"/>
    <n v="1"/>
    <n v="9.2999999999999999E-2"/>
    <n v="-3.5"/>
    <n v="-0.2"/>
    <n v="10.6"/>
    <n v="2.8"/>
    <n v="2.5"/>
    <n v="0.5"/>
    <x v="3"/>
    <x v="3"/>
    <x v="0"/>
    <n v="3.4482758620689655E-2"/>
    <m/>
  </r>
  <r>
    <n v="2010"/>
    <x v="29"/>
    <s v="WAS"/>
    <s v="Lazar Hayward"/>
    <s v="Marquette"/>
    <n v="72"/>
    <n v="591"/>
    <n v="207"/>
    <n v="90"/>
    <n v="35"/>
    <n v="0.34699999999999998"/>
    <n v="0.26900000000000002"/>
    <n v="0.76700000000000002"/>
    <n v="0.2"/>
    <n v="0.02"/>
    <n v="-4.2"/>
    <n v="-0.3"/>
    <n v="8.1999999999999993"/>
    <n v="2.9"/>
    <n v="1.3"/>
    <n v="0.5"/>
    <x v="3"/>
    <x v="3"/>
    <x v="0"/>
    <n v="6.6666666666666671E-3"/>
    <m/>
  </r>
  <r>
    <n v="2011"/>
    <x v="0"/>
    <s v="CLE"/>
    <s v="Kyrie Irving"/>
    <s v="Duke"/>
    <n v="596"/>
    <n v="20220"/>
    <n v="13631"/>
    <n v="2279"/>
    <n v="3411"/>
    <n v="0.46899999999999997"/>
    <n v="0.39100000000000001"/>
    <n v="0.88200000000000001"/>
    <n v="69.8"/>
    <n v="0.16600000000000001"/>
    <n v="4.5"/>
    <n v="33.200000000000003"/>
    <n v="33.9"/>
    <n v="22.9"/>
    <n v="3.8"/>
    <n v="5.7"/>
    <x v="0"/>
    <x v="0"/>
    <x v="0"/>
    <n v="69.8"/>
    <m/>
  </r>
  <r>
    <n v="2011"/>
    <x v="1"/>
    <s v="MIN"/>
    <s v="Derrick Williams"/>
    <s v="Arizona"/>
    <n v="428"/>
    <n v="8864"/>
    <n v="3809"/>
    <n v="1693"/>
    <n v="293"/>
    <n v="0.434"/>
    <n v="0.3"/>
    <n v="0.71"/>
    <n v="14.1"/>
    <n v="7.5999999999999998E-2"/>
    <n v="-1.6"/>
    <n v="0.8"/>
    <n v="20.7"/>
    <n v="8.9"/>
    <n v="4"/>
    <n v="0.7"/>
    <x v="0"/>
    <x v="2"/>
    <x v="0"/>
    <n v="7.05"/>
    <m/>
  </r>
  <r>
    <n v="2011"/>
    <x v="2"/>
    <s v="UTA"/>
    <s v="Enes Freedom"/>
    <m/>
    <n v="748"/>
    <n v="16101"/>
    <n v="8349"/>
    <n v="5822"/>
    <n v="638"/>
    <n v="0.54800000000000004"/>
    <n v="0.28899999999999998"/>
    <n v="0.77700000000000002"/>
    <n v="52.8"/>
    <n v="0.157"/>
    <n v="-0.1"/>
    <n v="7.6"/>
    <n v="21.5"/>
    <n v="11.2"/>
    <n v="7.8"/>
    <n v="0.9"/>
    <x v="0"/>
    <x v="0"/>
    <x v="0"/>
    <n v="17.599999999999998"/>
    <m/>
  </r>
  <r>
    <n v="2011"/>
    <x v="3"/>
    <s v="CLE"/>
    <s v="Tristan Thompson"/>
    <s v="Texas"/>
    <n v="707"/>
    <n v="19180"/>
    <n v="6462"/>
    <n v="6011"/>
    <n v="711"/>
    <n v="0.51800000000000002"/>
    <n v="0.27800000000000002"/>
    <n v="0.60599999999999998"/>
    <n v="46.6"/>
    <n v="0.11700000000000001"/>
    <n v="-1.7"/>
    <n v="1.4"/>
    <n v="27.1"/>
    <n v="9.1"/>
    <n v="8.5"/>
    <n v="1"/>
    <x v="0"/>
    <x v="0"/>
    <x v="0"/>
    <n v="11.65"/>
    <m/>
  </r>
  <r>
    <n v="2011"/>
    <x v="4"/>
    <s v="TOR"/>
    <s v="Jonas Valančiūnas"/>
    <m/>
    <n v="674"/>
    <n v="17559"/>
    <n v="8958"/>
    <n v="6338"/>
    <n v="771"/>
    <n v="0.56299999999999994"/>
    <n v="0.36599999999999999"/>
    <n v="0.78400000000000003"/>
    <n v="65.400000000000006"/>
    <n v="0.17899999999999999"/>
    <n v="1.1000000000000001"/>
    <n v="13.7"/>
    <n v="26.1"/>
    <n v="13.3"/>
    <n v="9.4"/>
    <n v="1.1000000000000001"/>
    <x v="0"/>
    <x v="0"/>
    <x v="0"/>
    <n v="13.080000000000002"/>
    <m/>
  </r>
  <r>
    <n v="2011"/>
    <x v="5"/>
    <s v="WAS"/>
    <s v="Jan Veselý"/>
    <m/>
    <n v="162"/>
    <n v="2455"/>
    <n v="590"/>
    <n v="562"/>
    <n v="96"/>
    <n v="0.52100000000000002"/>
    <n v="0"/>
    <n v="0.40799999999999997"/>
    <n v="4"/>
    <n v="7.8E-2"/>
    <n v="-2.6"/>
    <n v="-0.4"/>
    <n v="15.2"/>
    <n v="3.6"/>
    <n v="3.5"/>
    <n v="0.6"/>
    <x v="1"/>
    <x v="3"/>
    <x v="1"/>
    <n v="0.66666666666666663"/>
    <m/>
  </r>
  <r>
    <n v="2011"/>
    <x v="6"/>
    <s v="SAC"/>
    <s v="Bismack Biyombo"/>
    <m/>
    <n v="719"/>
    <n v="14521"/>
    <n v="3749"/>
    <n v="4423"/>
    <n v="433"/>
    <n v="0.53"/>
    <n v="0"/>
    <n v="0.56499999999999995"/>
    <n v="29"/>
    <n v="9.6000000000000002E-2"/>
    <n v="-2.6"/>
    <n v="-2.1"/>
    <n v="20.2"/>
    <n v="5.2"/>
    <n v="6.2"/>
    <n v="0.6"/>
    <x v="1"/>
    <x v="2"/>
    <x v="0"/>
    <n v="4.1428571428571432"/>
    <m/>
  </r>
  <r>
    <n v="2011"/>
    <x v="7"/>
    <s v="DET"/>
    <s v="Brandon Knight"/>
    <s v="Kentucky"/>
    <n v="449"/>
    <n v="13191"/>
    <n v="6299"/>
    <n v="1384"/>
    <n v="1777"/>
    <n v="0.41099999999999998"/>
    <n v="0.35299999999999998"/>
    <n v="0.80700000000000005"/>
    <n v="11.7"/>
    <n v="4.2999999999999997E-2"/>
    <n v="-1.6"/>
    <n v="1.5"/>
    <n v="29.4"/>
    <n v="14"/>
    <n v="3.1"/>
    <n v="4"/>
    <x v="1"/>
    <x v="2"/>
    <x v="0"/>
    <n v="1.4624999999999999"/>
    <m/>
  </r>
  <r>
    <n v="2011"/>
    <x v="8"/>
    <s v="CHA"/>
    <s v="Kemba Walker"/>
    <s v="UConn"/>
    <n v="741"/>
    <n v="24666"/>
    <n v="14414"/>
    <n v="2815"/>
    <n v="3919"/>
    <n v="0.41799999999999998"/>
    <n v="0.36"/>
    <n v="0.84"/>
    <n v="59.5"/>
    <n v="0.11600000000000001"/>
    <n v="2.8"/>
    <n v="29.7"/>
    <n v="33.299999999999997"/>
    <n v="19.5"/>
    <n v="3.8"/>
    <n v="5.3"/>
    <x v="1"/>
    <x v="0"/>
    <x v="0"/>
    <n v="6.6111111111111107"/>
    <m/>
  </r>
  <r>
    <n v="2011"/>
    <x v="9"/>
    <s v="MIL"/>
    <s v="Jimmer Fredette"/>
    <s v="BYU"/>
    <n v="241"/>
    <n v="3213"/>
    <n v="1438"/>
    <n v="243"/>
    <n v="331"/>
    <n v="0.40899999999999997"/>
    <n v="0.372"/>
    <n v="0.879"/>
    <n v="2.2000000000000002"/>
    <n v="3.3000000000000002E-2"/>
    <n v="-2.5"/>
    <n v="-0.4"/>
    <n v="13.3"/>
    <n v="6"/>
    <n v="1"/>
    <n v="1.4"/>
    <x v="1"/>
    <x v="3"/>
    <x v="1"/>
    <n v="0.22000000000000003"/>
    <m/>
  </r>
  <r>
    <n v="2011"/>
    <x v="10"/>
    <s v="GSW"/>
    <s v="Klay Thompson"/>
    <s v="Washington State"/>
    <n v="631"/>
    <n v="20744"/>
    <n v="12268"/>
    <n v="2190"/>
    <n v="1465"/>
    <n v="0.45800000000000002"/>
    <n v="0.41799999999999998"/>
    <n v="0.84899999999999998"/>
    <n v="47.8"/>
    <n v="0.11"/>
    <n v="0.8"/>
    <n v="14.6"/>
    <n v="32.9"/>
    <n v="19.399999999999999"/>
    <n v="3.5"/>
    <n v="2.2999999999999998"/>
    <x v="1"/>
    <x v="0"/>
    <x v="0"/>
    <n v="4.3454545454545448"/>
    <m/>
  </r>
  <r>
    <n v="2011"/>
    <x v="11"/>
    <s v="UTA"/>
    <s v="Alec Burks"/>
    <s v="Colorado"/>
    <n v="602"/>
    <n v="13605"/>
    <n v="6339"/>
    <n v="2068"/>
    <n v="1179"/>
    <n v="0.41799999999999998"/>
    <n v="0.375"/>
    <n v="0.79900000000000004"/>
    <n v="23.9"/>
    <n v="8.4000000000000005E-2"/>
    <n v="-0.7"/>
    <n v="4.5999999999999996"/>
    <n v="22.6"/>
    <n v="10.5"/>
    <n v="3.4"/>
    <n v="2"/>
    <x v="1"/>
    <x v="2"/>
    <x v="0"/>
    <n v="1.9916666666666665"/>
    <m/>
  </r>
  <r>
    <n v="2011"/>
    <x v="12"/>
    <s v="PHO"/>
    <s v="Markieff Morris"/>
    <s v="Kansas"/>
    <n v="708"/>
    <n v="17613"/>
    <n v="7770"/>
    <n v="3697"/>
    <n v="1144"/>
    <n v="0.44600000000000001"/>
    <n v="0.34100000000000003"/>
    <n v="0.77700000000000002"/>
    <n v="27"/>
    <n v="7.2999999999999995E-2"/>
    <n v="-1.4"/>
    <n v="2.8"/>
    <n v="24.9"/>
    <n v="11"/>
    <n v="5.2"/>
    <n v="1.6"/>
    <x v="1"/>
    <x v="2"/>
    <x v="0"/>
    <n v="2.0769230769230771"/>
    <m/>
  </r>
  <r>
    <n v="2011"/>
    <x v="13"/>
    <s v="HOU"/>
    <s v="Marcus Morris"/>
    <s v="Kansas"/>
    <n v="700"/>
    <n v="18965"/>
    <n v="8674"/>
    <n v="3232"/>
    <n v="1050"/>
    <n v="0.436"/>
    <n v="0.379"/>
    <n v="0.76800000000000002"/>
    <n v="35.9"/>
    <n v="9.0999999999999998E-2"/>
    <n v="-0.5"/>
    <n v="7.2"/>
    <n v="27.1"/>
    <n v="12.4"/>
    <n v="4.5999999999999996"/>
    <n v="1.5"/>
    <x v="1"/>
    <x v="0"/>
    <x v="0"/>
    <n v="2.5642857142857141"/>
    <m/>
  </r>
  <r>
    <n v="2011"/>
    <x v="14"/>
    <s v="IND"/>
    <s v="Kawhi Leonard"/>
    <s v="San Diego State"/>
    <n v="576"/>
    <n v="18025"/>
    <n v="11085"/>
    <n v="3689"/>
    <n v="1672"/>
    <n v="0.49299999999999999"/>
    <n v="0.38400000000000001"/>
    <n v="0.85799999999999998"/>
    <n v="83.3"/>
    <n v="0.222"/>
    <n v="6.9"/>
    <n v="40.4"/>
    <n v="31.3"/>
    <n v="19.2"/>
    <n v="6.4"/>
    <n v="2.9"/>
    <x v="2"/>
    <x v="1"/>
    <x v="0"/>
    <n v="5.5533333333333328"/>
    <m/>
  </r>
  <r>
    <n v="2011"/>
    <x v="15"/>
    <s v="PHI"/>
    <s v="Nikola Vučević"/>
    <s v="USC"/>
    <n v="720"/>
    <n v="22214"/>
    <n v="12210"/>
    <n v="7536"/>
    <n v="1990"/>
    <n v="0.49399999999999999"/>
    <n v="0.35099999999999998"/>
    <n v="0.75600000000000001"/>
    <n v="58.5"/>
    <n v="0.126"/>
    <n v="2.2999999999999998"/>
    <n v="24.2"/>
    <n v="30.9"/>
    <n v="17"/>
    <n v="10.5"/>
    <n v="2.8"/>
    <x v="2"/>
    <x v="0"/>
    <x v="0"/>
    <n v="3.65625"/>
    <m/>
  </r>
  <r>
    <n v="2011"/>
    <x v="16"/>
    <s v="NYK"/>
    <s v="Iman Shumpert"/>
    <s v="Georgia Tech"/>
    <n v="461"/>
    <n v="11470"/>
    <n v="3320"/>
    <n v="1534"/>
    <n v="845"/>
    <n v="0.39100000000000001"/>
    <n v="0.33700000000000002"/>
    <n v="0.76400000000000001"/>
    <n v="12.9"/>
    <n v="5.3999999999999999E-2"/>
    <n v="-1.7"/>
    <n v="0.9"/>
    <n v="24.9"/>
    <n v="7.2"/>
    <n v="3.3"/>
    <n v="1.8"/>
    <x v="2"/>
    <x v="2"/>
    <x v="0"/>
    <n v="0.75882352941176467"/>
    <m/>
  </r>
  <r>
    <n v="2011"/>
    <x v="17"/>
    <s v="WAS"/>
    <s v="Chris Singleton"/>
    <s v="Florida State"/>
    <n v="148"/>
    <n v="2605"/>
    <n v="612"/>
    <n v="472"/>
    <n v="92"/>
    <n v="0.376"/>
    <n v="0.31900000000000001"/>
    <n v="0.63300000000000001"/>
    <n v="2.2999999999999998"/>
    <n v="4.2000000000000003E-2"/>
    <n v="-3.2"/>
    <n v="-0.8"/>
    <n v="17.600000000000001"/>
    <n v="4.0999999999999996"/>
    <n v="3.2"/>
    <n v="0.6"/>
    <x v="2"/>
    <x v="3"/>
    <x v="0"/>
    <n v="0.12777777777777777"/>
    <m/>
  </r>
  <r>
    <n v="2011"/>
    <x v="18"/>
    <s v="CHA"/>
    <s v="Tobias Harris"/>
    <s v="Tennessee"/>
    <n v="729"/>
    <n v="22807"/>
    <n v="11970"/>
    <n v="4523"/>
    <n v="1655"/>
    <n v="0.47599999999999998"/>
    <n v="0.36599999999999999"/>
    <n v="0.82899999999999996"/>
    <n v="56.9"/>
    <n v="0.12"/>
    <n v="1.1000000000000001"/>
    <n v="18"/>
    <n v="31.3"/>
    <n v="16.399999999999999"/>
    <n v="6.2"/>
    <n v="2.2999999999999998"/>
    <x v="2"/>
    <x v="0"/>
    <x v="0"/>
    <n v="2.9947368421052629"/>
    <m/>
  </r>
  <r>
    <n v="2011"/>
    <x v="19"/>
    <s v="MIN"/>
    <s v="Donatas Motiejūnas"/>
    <m/>
    <n v="251"/>
    <n v="4566"/>
    <n v="1832"/>
    <n v="952"/>
    <n v="269"/>
    <n v="0.46899999999999997"/>
    <n v="0.3"/>
    <n v="0.59699999999999998"/>
    <n v="7.1"/>
    <n v="7.4999999999999997E-2"/>
    <n v="-2.5"/>
    <n v="-0.5"/>
    <n v="18.2"/>
    <n v="7.3"/>
    <n v="3.8"/>
    <n v="1.1000000000000001"/>
    <x v="2"/>
    <x v="3"/>
    <x v="0"/>
    <n v="0.35499999999999998"/>
    <m/>
  </r>
  <r>
    <n v="2011"/>
    <x v="20"/>
    <s v="POR"/>
    <s v="Nolan Smith"/>
    <s v="Duke"/>
    <n v="84"/>
    <n v="829"/>
    <n v="277"/>
    <n v="83"/>
    <n v="97"/>
    <n v="0.371"/>
    <n v="0.26"/>
    <n v="0.71399999999999997"/>
    <n v="-0.8"/>
    <n v="-4.7E-2"/>
    <n v="-6"/>
    <n v="-0.8"/>
    <n v="9.9"/>
    <n v="3.3"/>
    <n v="1"/>
    <n v="1.2"/>
    <x v="3"/>
    <x v="3"/>
    <x v="0"/>
    <n v="-3.8095238095238099E-2"/>
    <m/>
  </r>
  <r>
    <n v="2011"/>
    <x v="21"/>
    <s v="DEN"/>
    <s v="Kenneth Faried"/>
    <s v="Morehead State University"/>
    <n v="478"/>
    <n v="11728"/>
    <n v="5430"/>
    <n v="3884"/>
    <n v="470"/>
    <n v="0.54600000000000004"/>
    <n v="0.222"/>
    <n v="0.65400000000000003"/>
    <n v="38.799999999999997"/>
    <n v="0.159"/>
    <n v="0.5"/>
    <n v="7.5"/>
    <n v="24.5"/>
    <n v="11.4"/>
    <n v="8.1"/>
    <n v="1"/>
    <x v="3"/>
    <x v="0"/>
    <x v="0"/>
    <n v="1.7636363636363634"/>
    <m/>
  </r>
  <r>
    <n v="2011"/>
    <x v="22"/>
    <s v="HOU"/>
    <s v="Nikola Mirotić"/>
    <m/>
    <n v="319"/>
    <n v="7718"/>
    <n v="3910"/>
    <n v="1894"/>
    <n v="407"/>
    <n v="0.42299999999999999"/>
    <n v="0.35899999999999999"/>
    <n v="0.80800000000000005"/>
    <n v="20.8"/>
    <n v="0.129"/>
    <n v="1.6"/>
    <n v="7.1"/>
    <n v="24.2"/>
    <n v="12.3"/>
    <n v="5.9"/>
    <n v="1.3"/>
    <x v="3"/>
    <x v="2"/>
    <x v="0"/>
    <n v="0.90434782608695652"/>
    <m/>
  </r>
  <r>
    <n v="2011"/>
    <x v="23"/>
    <s v="OKC"/>
    <s v="Reggie Jackson"/>
    <s v="Boston College"/>
    <n v="685"/>
    <n v="17423"/>
    <n v="8864"/>
    <n v="2047"/>
    <n v="2920"/>
    <n v="0.42499999999999999"/>
    <n v="0.34499999999999997"/>
    <n v="0.85399999999999998"/>
    <n v="33.700000000000003"/>
    <n v="9.2999999999999999E-2"/>
    <n v="0.2"/>
    <n v="9.4"/>
    <n v="25.4"/>
    <n v="12.9"/>
    <n v="3"/>
    <n v="4.3"/>
    <x v="3"/>
    <x v="0"/>
    <x v="0"/>
    <n v="1.4041666666666668"/>
    <m/>
  </r>
  <r>
    <n v="2011"/>
    <x v="24"/>
    <s v="BOS"/>
    <s v="MarShon Brooks"/>
    <s v="Providence"/>
    <n v="200"/>
    <n v="3456"/>
    <n v="1592"/>
    <n v="424"/>
    <n v="282"/>
    <n v="0.44700000000000001"/>
    <n v="0.34499999999999997"/>
    <n v="0.751"/>
    <n v="3.3"/>
    <n v="4.5999999999999999E-2"/>
    <n v="-1.6"/>
    <n v="0.4"/>
    <n v="17.3"/>
    <n v="8"/>
    <n v="2.1"/>
    <n v="1.4"/>
    <x v="3"/>
    <x v="3"/>
    <x v="0"/>
    <n v="0.13200000000000001"/>
    <m/>
  </r>
  <r>
    <n v="2011"/>
    <x v="25"/>
    <s v="DAL"/>
    <s v="Jordan Hamilton"/>
    <s v="Texas"/>
    <n v="151"/>
    <n v="2100"/>
    <n v="890"/>
    <n v="429"/>
    <n v="127"/>
    <n v="0.40799999999999997"/>
    <n v="0.35699999999999998"/>
    <n v="0.67"/>
    <n v="3"/>
    <n v="6.9000000000000006E-2"/>
    <n v="-0.1"/>
    <n v="1"/>
    <n v="13.9"/>
    <n v="5.9"/>
    <n v="2.8"/>
    <n v="0.8"/>
    <x v="3"/>
    <x v="3"/>
    <x v="0"/>
    <n v="0.11538461538461539"/>
    <m/>
  </r>
  <r>
    <n v="2011"/>
    <x v="26"/>
    <s v="BRK"/>
    <s v="JaJuan Johnson"/>
    <s v="Purdue"/>
    <n v="36"/>
    <n v="298"/>
    <n v="114"/>
    <n v="58"/>
    <n v="6"/>
    <n v="0.44600000000000001"/>
    <m/>
    <n v="0.66700000000000004"/>
    <n v="0.2"/>
    <n v="3.2000000000000001E-2"/>
    <n v="-3.9"/>
    <n v="-0.1"/>
    <n v="8.3000000000000007"/>
    <n v="3.2"/>
    <n v="1.6"/>
    <n v="0.2"/>
    <x v="3"/>
    <x v="3"/>
    <x v="0"/>
    <n v="7.4074074074074077E-3"/>
    <m/>
  </r>
  <r>
    <n v="2011"/>
    <x v="27"/>
    <s v="CHI"/>
    <s v="Norris Cole"/>
    <s v="Cleveland State University"/>
    <n v="360"/>
    <n v="8018"/>
    <n v="2506"/>
    <n v="702"/>
    <n v="981"/>
    <n v="0.40699999999999997"/>
    <n v="0.32400000000000001"/>
    <n v="0.74299999999999999"/>
    <n v="3"/>
    <n v="1.7999999999999999E-2"/>
    <n v="-4.0999999999999996"/>
    <n v="-4.0999999999999996"/>
    <n v="22.3"/>
    <n v="7"/>
    <n v="2"/>
    <n v="2.7"/>
    <x v="3"/>
    <x v="3"/>
    <x v="0"/>
    <n v="0.10714285714285714"/>
    <m/>
  </r>
  <r>
    <n v="2011"/>
    <x v="28"/>
    <s v="SAS"/>
    <s v="Cory Joseph"/>
    <s v="Texas"/>
    <n v="710"/>
    <n v="15708"/>
    <n v="5020"/>
    <n v="1828"/>
    <n v="2133"/>
    <n v="0.44400000000000001"/>
    <n v="0.34300000000000003"/>
    <n v="0.78100000000000003"/>
    <n v="27.9"/>
    <n v="8.5000000000000006E-2"/>
    <n v="-1"/>
    <n v="3.8"/>
    <n v="22.1"/>
    <n v="7.1"/>
    <n v="2.6"/>
    <n v="3"/>
    <x v="3"/>
    <x v="2"/>
    <x v="0"/>
    <n v="0.9620689655172413"/>
    <m/>
  </r>
  <r>
    <n v="2011"/>
    <x v="29"/>
    <s v="CHI"/>
    <s v="Jimmy Butler"/>
    <s v="Marquette"/>
    <n v="673"/>
    <n v="22306"/>
    <n v="11873"/>
    <n v="3579"/>
    <n v="2764"/>
    <n v="0.45900000000000002"/>
    <n v="0.32100000000000001"/>
    <n v="0.84199999999999997"/>
    <n v="91.5"/>
    <n v="0.19700000000000001"/>
    <n v="4.7"/>
    <n v="37.6"/>
    <n v="33.1"/>
    <n v="17.600000000000001"/>
    <n v="5.3"/>
    <n v="4.0999999999999996"/>
    <x v="3"/>
    <x v="1"/>
    <x v="0"/>
    <n v="3.05"/>
    <m/>
  </r>
  <r>
    <n v="2012"/>
    <x v="0"/>
    <s v="NOP"/>
    <s v="Anthony Davis"/>
    <s v="Kentucky"/>
    <n v="601"/>
    <n v="20698"/>
    <n v="14318"/>
    <n v="6129"/>
    <n v="1399"/>
    <n v="0.51500000000000001"/>
    <n v="0.30299999999999999"/>
    <n v="0.79400000000000004"/>
    <n v="91.5"/>
    <n v="0.21199999999999999"/>
    <n v="6"/>
    <n v="42"/>
    <n v="34.4"/>
    <n v="23.8"/>
    <n v="10.199999999999999"/>
    <n v="2.2999999999999998"/>
    <x v="0"/>
    <x v="1"/>
    <x v="0"/>
    <n v="91.5"/>
    <m/>
  </r>
  <r>
    <n v="2012"/>
    <x v="1"/>
    <s v="CHA"/>
    <s v="Michael Kidd-Gilchrist"/>
    <s v="Kentucky"/>
    <n v="446"/>
    <n v="10978"/>
    <n v="3750"/>
    <n v="2420"/>
    <n v="515"/>
    <n v="0.47399999999999998"/>
    <n v="0.27200000000000002"/>
    <n v="0.71499999999999997"/>
    <n v="21"/>
    <n v="9.1999999999999998E-2"/>
    <n v="-1.8"/>
    <n v="0.6"/>
    <n v="24.6"/>
    <n v="8.4"/>
    <n v="5.4"/>
    <n v="1.2"/>
    <x v="0"/>
    <x v="2"/>
    <x v="0"/>
    <n v="10.5"/>
    <m/>
  </r>
  <r>
    <n v="2012"/>
    <x v="2"/>
    <s v="WAS"/>
    <s v="Bradley Beal"/>
    <s v="Florida"/>
    <n v="645"/>
    <n v="22418"/>
    <n v="14231"/>
    <n v="2641"/>
    <n v="2701"/>
    <n v="0.45600000000000002"/>
    <n v="0.372"/>
    <n v="0.82099999999999995"/>
    <n v="49.2"/>
    <n v="0.105"/>
    <n v="1.7"/>
    <n v="21"/>
    <n v="34.799999999999997"/>
    <n v="22.1"/>
    <n v="4.0999999999999996"/>
    <n v="4.2"/>
    <x v="0"/>
    <x v="0"/>
    <x v="0"/>
    <n v="16.400000000000002"/>
    <m/>
  </r>
  <r>
    <n v="2012"/>
    <x v="3"/>
    <s v="CLE"/>
    <s v="Dion Waiters"/>
    <s v="Syracuse"/>
    <n v="419"/>
    <n v="11835"/>
    <n v="5505"/>
    <n v="1108"/>
    <n v="1163"/>
    <n v="0.41199999999999998"/>
    <n v="0.34599999999999997"/>
    <n v="0.69399999999999995"/>
    <n v="8.8000000000000007"/>
    <n v="3.5999999999999997E-2"/>
    <n v="-2.1"/>
    <n v="-0.4"/>
    <n v="28.2"/>
    <n v="13.1"/>
    <n v="2.6"/>
    <n v="2.8"/>
    <x v="0"/>
    <x v="3"/>
    <x v="1"/>
    <n v="2.2000000000000002"/>
    <m/>
  </r>
  <r>
    <n v="2012"/>
    <x v="4"/>
    <s v="SAC"/>
    <s v="Thomas Robinson"/>
    <s v="Kansas"/>
    <n v="313"/>
    <n v="4204"/>
    <n v="1528"/>
    <n v="1507"/>
    <n v="190"/>
    <n v="0.47"/>
    <n v="0"/>
    <n v="0.505"/>
    <n v="4.5999999999999996"/>
    <n v="5.2999999999999999E-2"/>
    <n v="-3.5"/>
    <n v="-1.6"/>
    <n v="13.4"/>
    <n v="4.9000000000000004"/>
    <n v="4.8"/>
    <n v="0.6"/>
    <x v="0"/>
    <x v="3"/>
    <x v="1"/>
    <n v="0.91999999999999993"/>
    <m/>
  </r>
  <r>
    <n v="2012"/>
    <x v="5"/>
    <s v="POR"/>
    <s v="Damian Lillard"/>
    <s v="Weber State"/>
    <n v="711"/>
    <n v="25835"/>
    <n v="17510"/>
    <n v="2976"/>
    <n v="4726"/>
    <n v="0.437"/>
    <n v="0.373"/>
    <n v="0.89300000000000002"/>
    <n v="94.5"/>
    <n v="0.17599999999999999"/>
    <n v="4.7"/>
    <n v="43.8"/>
    <n v="36.299999999999997"/>
    <n v="24.6"/>
    <n v="4.2"/>
    <n v="6.6"/>
    <x v="1"/>
    <x v="1"/>
    <x v="0"/>
    <n v="15.75"/>
    <m/>
  </r>
  <r>
    <n v="2012"/>
    <x v="6"/>
    <s v="GSW"/>
    <s v="Harrison Barnes"/>
    <s v="UNC"/>
    <n v="725"/>
    <n v="23028"/>
    <n v="10235"/>
    <n v="3720"/>
    <n v="1326"/>
    <n v="0.45300000000000001"/>
    <n v="0.38"/>
    <n v="0.80400000000000005"/>
    <n v="43.6"/>
    <n v="9.0999999999999998E-2"/>
    <n v="-0.8"/>
    <n v="7"/>
    <n v="31.8"/>
    <n v="14.1"/>
    <n v="5.0999999999999996"/>
    <n v="1.8"/>
    <x v="1"/>
    <x v="0"/>
    <x v="0"/>
    <n v="6.2285714285714286"/>
    <m/>
  </r>
  <r>
    <n v="2012"/>
    <x v="7"/>
    <s v="TOR"/>
    <s v="Terrence Ross"/>
    <s v="Washington"/>
    <n v="658"/>
    <n v="16412"/>
    <n v="7436"/>
    <n v="1875"/>
    <n v="826"/>
    <n v="0.41799999999999998"/>
    <n v="0.36399999999999999"/>
    <n v="0.83899999999999997"/>
    <n v="23.5"/>
    <n v="6.9000000000000006E-2"/>
    <n v="-0.9"/>
    <n v="4.7"/>
    <n v="24.9"/>
    <n v="11.3"/>
    <n v="2.8"/>
    <n v="1.3"/>
    <x v="1"/>
    <x v="2"/>
    <x v="0"/>
    <n v="2.9375"/>
    <m/>
  </r>
  <r>
    <n v="2012"/>
    <x v="8"/>
    <s v="DET"/>
    <s v="Andre Drummond"/>
    <s v="UConn"/>
    <n v="697"/>
    <n v="20799"/>
    <n v="9684"/>
    <n v="9309"/>
    <n v="976"/>
    <n v="0.53800000000000003"/>
    <n v="0.13300000000000001"/>
    <n v="0.47099999999999997"/>
    <n v="65.7"/>
    <n v="0.152"/>
    <n v="1.3"/>
    <n v="17.3"/>
    <n v="29.8"/>
    <n v="13.9"/>
    <n v="13.4"/>
    <n v="1.4"/>
    <x v="1"/>
    <x v="0"/>
    <x v="0"/>
    <n v="7.3000000000000007"/>
    <m/>
  </r>
  <r>
    <n v="2012"/>
    <x v="9"/>
    <s v="NOP"/>
    <s v="Austin Rivers"/>
    <s v="Duke"/>
    <n v="632"/>
    <n v="15285"/>
    <n v="5604"/>
    <n v="1319"/>
    <n v="1398"/>
    <n v="0.41799999999999998"/>
    <n v="0.35"/>
    <n v="0.64700000000000002"/>
    <n v="13.3"/>
    <n v="4.2000000000000003E-2"/>
    <n v="-3"/>
    <n v="-3.9"/>
    <n v="24.2"/>
    <n v="8.9"/>
    <n v="2.1"/>
    <n v="2.2000000000000002"/>
    <x v="1"/>
    <x v="2"/>
    <x v="0"/>
    <n v="1.33"/>
    <m/>
  </r>
  <r>
    <n v="2012"/>
    <x v="10"/>
    <s v="POR"/>
    <s v="Meyers Leonard"/>
    <s v="Illinois"/>
    <n v="447"/>
    <n v="7158"/>
    <n v="2502"/>
    <n v="1737"/>
    <n v="395"/>
    <n v="0.48199999999999998"/>
    <n v="0.39"/>
    <n v="0.80900000000000005"/>
    <n v="15.5"/>
    <n v="0.104"/>
    <n v="-1.4"/>
    <n v="1.1000000000000001"/>
    <n v="16"/>
    <n v="5.6"/>
    <n v="3.9"/>
    <n v="0.9"/>
    <x v="1"/>
    <x v="2"/>
    <x v="0"/>
    <n v="1.4090909090909092"/>
    <m/>
  </r>
  <r>
    <n v="2012"/>
    <x v="11"/>
    <s v="HOU"/>
    <s v="Jeremy Lamb"/>
    <s v="UConn"/>
    <n v="557"/>
    <n v="11605"/>
    <n v="5685"/>
    <n v="2019"/>
    <n v="879"/>
    <n v="0.44"/>
    <n v="0.34399999999999997"/>
    <n v="0.85699999999999998"/>
    <n v="26.7"/>
    <n v="0.11"/>
    <n v="0.7"/>
    <n v="7.9"/>
    <n v="20.8"/>
    <n v="10.199999999999999"/>
    <n v="3.6"/>
    <n v="1.6"/>
    <x v="1"/>
    <x v="2"/>
    <x v="0"/>
    <n v="2.2250000000000001"/>
    <m/>
  </r>
  <r>
    <n v="2012"/>
    <x v="12"/>
    <s v="PHO"/>
    <s v="Kendall Marshall"/>
    <s v="UNC"/>
    <n v="160"/>
    <n v="3083"/>
    <n v="802"/>
    <n v="253"/>
    <n v="779"/>
    <n v="0.39900000000000002"/>
    <n v="0.37"/>
    <n v="0.61099999999999999"/>
    <n v="1"/>
    <n v="1.4999999999999999E-2"/>
    <n v="-3.5"/>
    <n v="-1.1000000000000001"/>
    <n v="19.3"/>
    <n v="5"/>
    <n v="1.6"/>
    <n v="4.9000000000000004"/>
    <x v="1"/>
    <x v="3"/>
    <x v="1"/>
    <n v="7.6923076923076927E-2"/>
    <m/>
  </r>
  <r>
    <n v="2012"/>
    <x v="13"/>
    <s v="MIL"/>
    <s v="John Henson"/>
    <s v="UNC"/>
    <n v="445"/>
    <n v="8752"/>
    <n v="3383"/>
    <n v="2368"/>
    <n v="496"/>
    <n v="0.54"/>
    <n v="0.25"/>
    <n v="0.56799999999999995"/>
    <n v="20.7"/>
    <n v="0.113"/>
    <n v="-0.5"/>
    <n v="3.4"/>
    <n v="19.7"/>
    <n v="7.6"/>
    <n v="5.3"/>
    <n v="1.1000000000000001"/>
    <x v="1"/>
    <x v="2"/>
    <x v="0"/>
    <n v="1.4785714285714284"/>
    <m/>
  </r>
  <r>
    <n v="2012"/>
    <x v="14"/>
    <s v="PHI"/>
    <s v="Maurice Harkless"/>
    <s v="St. John's"/>
    <n v="615"/>
    <n v="13971"/>
    <n v="4250"/>
    <n v="2191"/>
    <n v="571"/>
    <n v="0.47399999999999998"/>
    <n v="0.32"/>
    <n v="0.624"/>
    <n v="22.9"/>
    <n v="7.9000000000000001E-2"/>
    <n v="-0.8"/>
    <n v="4.0999999999999996"/>
    <n v="22.7"/>
    <n v="6.9"/>
    <n v="3.6"/>
    <n v="0.9"/>
    <x v="2"/>
    <x v="2"/>
    <x v="0"/>
    <n v="1.5266666666666666"/>
    <m/>
  </r>
  <r>
    <n v="2012"/>
    <x v="15"/>
    <s v="HOU"/>
    <s v="Royce White"/>
    <s v="Iowa State"/>
    <n v="3"/>
    <n v="9"/>
    <n v="0"/>
    <n v="0"/>
    <n v="0"/>
    <n v="0"/>
    <m/>
    <m/>
    <n v="0"/>
    <n v="-0.121"/>
    <n v="-16.899999999999999"/>
    <n v="0"/>
    <n v="3"/>
    <n v="0"/>
    <n v="0"/>
    <n v="0"/>
    <x v="2"/>
    <x v="3"/>
    <x v="0"/>
    <n v="0"/>
    <m/>
  </r>
  <r>
    <n v="2012"/>
    <x v="16"/>
    <s v="DAL"/>
    <s v="Tyler Zeller"/>
    <s v="UNC"/>
    <n v="414"/>
    <n v="7254"/>
    <n v="2873"/>
    <n v="1820"/>
    <n v="367"/>
    <n v="0.50800000000000001"/>
    <n v="0.28599999999999998"/>
    <n v="0.76400000000000001"/>
    <n v="17.100000000000001"/>
    <n v="0.113"/>
    <n v="-2"/>
    <n v="0"/>
    <n v="17.5"/>
    <n v="6.9"/>
    <n v="4.4000000000000004"/>
    <n v="0.9"/>
    <x v="2"/>
    <x v="2"/>
    <x v="0"/>
    <n v="1.0058823529411764"/>
    <m/>
  </r>
  <r>
    <n v="2012"/>
    <x v="17"/>
    <s v="HOU"/>
    <s v="Terrence Jones"/>
    <s v="Kentucky"/>
    <n v="234"/>
    <n v="5562"/>
    <n v="2431"/>
    <n v="1334"/>
    <n v="238"/>
    <n v="0.501"/>
    <n v="0.29699999999999999"/>
    <n v="0.621"/>
    <n v="14.7"/>
    <n v="0.127"/>
    <n v="0.5"/>
    <n v="3.6"/>
    <n v="23.8"/>
    <n v="10.4"/>
    <n v="5.7"/>
    <n v="1"/>
    <x v="2"/>
    <x v="2"/>
    <x v="0"/>
    <n v="0.81666666666666665"/>
    <m/>
  </r>
  <r>
    <n v="2012"/>
    <x v="18"/>
    <s v="ORL"/>
    <s v="Andrew Nicholson"/>
    <s v="St. Bonaventure"/>
    <n v="285"/>
    <n v="4080"/>
    <n v="1700"/>
    <n v="857"/>
    <n v="126"/>
    <n v="0.46700000000000003"/>
    <n v="0.32100000000000001"/>
    <n v="0.77300000000000002"/>
    <n v="3.8"/>
    <n v="4.4999999999999998E-2"/>
    <n v="-3.6"/>
    <n v="-1.6"/>
    <n v="14.3"/>
    <n v="6"/>
    <n v="3"/>
    <n v="0.4"/>
    <x v="2"/>
    <x v="3"/>
    <x v="0"/>
    <n v="0.19999999999999998"/>
    <m/>
  </r>
  <r>
    <n v="2012"/>
    <x v="19"/>
    <s v="DEN"/>
    <s v="Evan Fournier"/>
    <m/>
    <n v="622"/>
    <n v="17798"/>
    <n v="8923"/>
    <n v="1729"/>
    <n v="1610"/>
    <n v="0.44700000000000001"/>
    <n v="0.38100000000000001"/>
    <n v="0.80100000000000005"/>
    <n v="29.4"/>
    <n v="7.9000000000000001E-2"/>
    <n v="-0.9"/>
    <n v="4.7"/>
    <n v="28.6"/>
    <n v="14.3"/>
    <n v="2.8"/>
    <n v="2.6"/>
    <x v="2"/>
    <x v="2"/>
    <x v="0"/>
    <n v="1.47"/>
    <m/>
  </r>
  <r>
    <n v="2012"/>
    <x v="20"/>
    <s v="BOS"/>
    <s v="Jared Sullinger"/>
    <s v="Ohio State"/>
    <n v="269"/>
    <n v="6532"/>
    <n v="2893"/>
    <n v="2006"/>
    <n v="477"/>
    <n v="0.436"/>
    <n v="0.27200000000000002"/>
    <n v="0.72299999999999998"/>
    <n v="15.3"/>
    <n v="0.113"/>
    <n v="-0.4"/>
    <n v="2.7"/>
    <n v="24.3"/>
    <n v="10.8"/>
    <n v="7.5"/>
    <n v="1.8"/>
    <x v="3"/>
    <x v="2"/>
    <x v="0"/>
    <n v="0.72857142857142865"/>
    <m/>
  </r>
  <r>
    <n v="2012"/>
    <x v="21"/>
    <s v="BOS"/>
    <s v="Fab Melo"/>
    <s v="Syracuse"/>
    <n v="6"/>
    <n v="36"/>
    <n v="7"/>
    <n v="3"/>
    <n v="0"/>
    <n v="0.5"/>
    <m/>
    <n v="0.25"/>
    <n v="0"/>
    <n v="2.1000000000000001E-2"/>
    <n v="-7.6"/>
    <n v="-0.1"/>
    <n v="6"/>
    <n v="1.2"/>
    <n v="0.5"/>
    <n v="0"/>
    <x v="3"/>
    <x v="3"/>
    <x v="0"/>
    <n v="0"/>
    <m/>
  </r>
  <r>
    <n v="2012"/>
    <x v="22"/>
    <s v="ATL"/>
    <s v="John Jenkins"/>
    <s v="Vanderbilt"/>
    <n v="171"/>
    <n v="2183"/>
    <n v="855"/>
    <n v="250"/>
    <n v="138"/>
    <n v="0.441"/>
    <n v="0.36699999999999999"/>
    <n v="0.84699999999999998"/>
    <n v="3"/>
    <n v="6.5000000000000002E-2"/>
    <n v="-1.9"/>
    <n v="0.1"/>
    <n v="12.8"/>
    <n v="5"/>
    <n v="1.5"/>
    <n v="0.8"/>
    <x v="3"/>
    <x v="3"/>
    <x v="0"/>
    <n v="0.13043478260869565"/>
    <m/>
  </r>
  <r>
    <n v="2012"/>
    <x v="23"/>
    <s v="CLE"/>
    <s v="Jared Cunningham"/>
    <s v="Oregon State"/>
    <n v="84"/>
    <n v="605"/>
    <n v="197"/>
    <n v="56"/>
    <n v="39"/>
    <n v="0.34699999999999998"/>
    <n v="0.30599999999999999"/>
    <n v="0.67400000000000004"/>
    <n v="0.2"/>
    <n v="1.7000000000000001E-2"/>
    <n v="-5.7"/>
    <n v="-0.6"/>
    <n v="7.2"/>
    <n v="2.2999999999999998"/>
    <n v="0.7"/>
    <n v="0.5"/>
    <x v="3"/>
    <x v="3"/>
    <x v="0"/>
    <n v="8.3333333333333332E-3"/>
    <m/>
  </r>
  <r>
    <n v="2012"/>
    <x v="24"/>
    <s v="MEM"/>
    <s v="Tony Wroten"/>
    <s v="Washington"/>
    <n v="145"/>
    <n v="3076"/>
    <n v="1604"/>
    <n v="363"/>
    <n v="437"/>
    <n v="0.41299999999999998"/>
    <n v="0.23100000000000001"/>
    <n v="0.64700000000000002"/>
    <n v="-1.3"/>
    <n v="-2.1000000000000001E-2"/>
    <n v="-3.4"/>
    <n v="-1.1000000000000001"/>
    <n v="21.2"/>
    <n v="11.1"/>
    <n v="2.5"/>
    <n v="3"/>
    <x v="3"/>
    <x v="3"/>
    <x v="0"/>
    <n v="-5.2000000000000005E-2"/>
    <m/>
  </r>
  <r>
    <n v="2012"/>
    <x v="25"/>
    <s v="IND"/>
    <s v="Miles Plumlee"/>
    <s v="Duke"/>
    <n v="346"/>
    <n v="5658"/>
    <n v="1697"/>
    <n v="1562"/>
    <n v="178"/>
    <n v="0.54200000000000004"/>
    <m/>
    <n v="0.54300000000000004"/>
    <n v="10.6"/>
    <n v="0.09"/>
    <n v="-1.9"/>
    <n v="0.2"/>
    <n v="16.399999999999999"/>
    <n v="4.9000000000000004"/>
    <n v="4.5"/>
    <n v="0.5"/>
    <x v="3"/>
    <x v="2"/>
    <x v="0"/>
    <n v="0.40769230769230769"/>
    <m/>
  </r>
  <r>
    <n v="2012"/>
    <x v="26"/>
    <s v="MIA"/>
    <s v="Arnett Moultrie"/>
    <s v="Mississippi State"/>
    <n v="59"/>
    <n v="729"/>
    <n v="210"/>
    <n v="180"/>
    <n v="12"/>
    <n v="0.54700000000000004"/>
    <m/>
    <n v="0.66700000000000004"/>
    <n v="1.7"/>
    <n v="0.113"/>
    <n v="-2.8"/>
    <n v="-0.1"/>
    <n v="12.4"/>
    <n v="3.6"/>
    <n v="3.1"/>
    <n v="0.2"/>
    <x v="3"/>
    <x v="3"/>
    <x v="0"/>
    <n v="6.2962962962962957E-2"/>
    <m/>
  </r>
  <r>
    <n v="2012"/>
    <x v="27"/>
    <s v="OKC"/>
    <s v="Perry Jones"/>
    <s v="Baylor"/>
    <n v="143"/>
    <n v="1675"/>
    <n v="488"/>
    <n v="252"/>
    <n v="54"/>
    <n v="0.42"/>
    <n v="0.29299999999999998"/>
    <n v="0.66"/>
    <n v="1.7"/>
    <n v="4.8000000000000001E-2"/>
    <n v="-3.5"/>
    <n v="-0.6"/>
    <n v="11.7"/>
    <n v="3.4"/>
    <n v="1.8"/>
    <n v="0.4"/>
    <x v="3"/>
    <x v="3"/>
    <x v="0"/>
    <n v="6.0714285714285714E-2"/>
    <m/>
  </r>
  <r>
    <n v="2012"/>
    <x v="28"/>
    <s v="CHI"/>
    <s v="Marquis Teague"/>
    <s v="Kentucky"/>
    <n v="91"/>
    <n v="909"/>
    <n v="217"/>
    <n v="90"/>
    <n v="134"/>
    <n v="0.34300000000000003"/>
    <n v="0.222"/>
    <n v="0.66100000000000003"/>
    <n v="-0.9"/>
    <n v="-4.4999999999999998E-2"/>
    <n v="-6.5"/>
    <n v="-1"/>
    <n v="10"/>
    <n v="2.4"/>
    <n v="1"/>
    <n v="1.5"/>
    <x v="3"/>
    <x v="3"/>
    <x v="0"/>
    <n v="-3.1034482758620689E-2"/>
    <m/>
  </r>
  <r>
    <n v="2012"/>
    <x v="29"/>
    <s v="GSW"/>
    <s v="Festus Ezeli"/>
    <s v="Vanderbilt"/>
    <n v="170"/>
    <n v="2394"/>
    <n v="712"/>
    <n v="725"/>
    <n v="63"/>
    <n v="0.51300000000000001"/>
    <m/>
    <n v="0.55700000000000005"/>
    <n v="5.9"/>
    <n v="0.11899999999999999"/>
    <n v="-2"/>
    <n v="0"/>
    <n v="14.1"/>
    <n v="4.2"/>
    <n v="4.3"/>
    <n v="0.4"/>
    <x v="3"/>
    <x v="3"/>
    <x v="0"/>
    <n v="0.19666666666666668"/>
    <m/>
  </r>
  <r>
    <n v="2013"/>
    <x v="0"/>
    <s v="CLE"/>
    <s v="Anthony Bennett"/>
    <s v="UNLV"/>
    <n v="151"/>
    <n v="1905"/>
    <n v="658"/>
    <n v="472"/>
    <n v="77"/>
    <n v="0.39200000000000002"/>
    <n v="0.26100000000000001"/>
    <n v="0.67"/>
    <n v="0.5"/>
    <n v="1.2999999999999999E-2"/>
    <n v="-4.8"/>
    <n v="-1.3"/>
    <n v="12.6"/>
    <n v="4.4000000000000004"/>
    <n v="3.1"/>
    <n v="0.5"/>
    <x v="0"/>
    <x v="3"/>
    <x v="1"/>
    <n v="0.5"/>
    <m/>
  </r>
  <r>
    <n v="2013"/>
    <x v="1"/>
    <s v="ORL"/>
    <s v="Victor Oladipo"/>
    <s v="Indiana"/>
    <n v="454"/>
    <n v="14968"/>
    <n v="7955"/>
    <n v="2094"/>
    <n v="1796"/>
    <n v="0.438"/>
    <n v="0.34699999999999998"/>
    <n v="0.79100000000000004"/>
    <n v="24.6"/>
    <n v="7.9000000000000001E-2"/>
    <n v="0.9"/>
    <n v="10.8"/>
    <n v="33"/>
    <n v="17.5"/>
    <n v="4.5999999999999996"/>
    <n v="4"/>
    <x v="0"/>
    <x v="2"/>
    <x v="0"/>
    <n v="12.3"/>
    <m/>
  </r>
  <r>
    <n v="2013"/>
    <x v="2"/>
    <s v="WAS"/>
    <s v="Otto Porter Jr."/>
    <s v="Georgetown"/>
    <n v="489"/>
    <n v="12718"/>
    <n v="5223"/>
    <n v="2440"/>
    <n v="746"/>
    <n v="0.47799999999999998"/>
    <n v="0.40100000000000002"/>
    <n v="0.79100000000000004"/>
    <n v="35.1"/>
    <n v="0.13300000000000001"/>
    <n v="1.8"/>
    <n v="12.2"/>
    <n v="26"/>
    <n v="10.7"/>
    <n v="5"/>
    <n v="1.5"/>
    <x v="0"/>
    <x v="0"/>
    <x v="0"/>
    <n v="11.700000000000001"/>
    <m/>
  </r>
  <r>
    <n v="2013"/>
    <x v="3"/>
    <s v="CHA"/>
    <s v="Cody Zeller"/>
    <s v="Indiana"/>
    <n v="494"/>
    <n v="10973"/>
    <n v="4202"/>
    <n v="2949"/>
    <n v="691"/>
    <n v="0.52"/>
    <n v="0.221"/>
    <n v="0.73099999999999998"/>
    <n v="32.200000000000003"/>
    <n v="0.14099999999999999"/>
    <n v="-0.5"/>
    <n v="4.0999999999999996"/>
    <n v="22.2"/>
    <n v="8.5"/>
    <n v="6"/>
    <n v="1.4"/>
    <x v="0"/>
    <x v="0"/>
    <x v="0"/>
    <n v="8.0500000000000007"/>
    <m/>
  </r>
  <r>
    <n v="2013"/>
    <x v="4"/>
    <s v="PHO"/>
    <s v="Alex Len"/>
    <s v="Maryland"/>
    <n v="564"/>
    <n v="10706"/>
    <n v="4342"/>
    <n v="3333"/>
    <n v="485"/>
    <n v="0.50700000000000001"/>
    <n v="0.33100000000000002"/>
    <n v="0.68300000000000005"/>
    <n v="21.5"/>
    <n v="9.7000000000000003E-2"/>
    <n v="-1.9"/>
    <n v="0.3"/>
    <n v="19"/>
    <n v="7.7"/>
    <n v="5.9"/>
    <n v="0.9"/>
    <x v="0"/>
    <x v="2"/>
    <x v="0"/>
    <n v="4.3"/>
    <m/>
  </r>
  <r>
    <n v="2013"/>
    <x v="5"/>
    <s v="NOP"/>
    <s v="Nerlens Noel"/>
    <s v="Kentucky"/>
    <n v="450"/>
    <n v="10086"/>
    <n v="3303"/>
    <n v="2789"/>
    <n v="491"/>
    <n v="0.54900000000000004"/>
    <n v="0.154"/>
    <n v="0.65500000000000003"/>
    <n v="28.2"/>
    <n v="0.13400000000000001"/>
    <n v="0.9"/>
    <n v="7.5"/>
    <n v="22.4"/>
    <n v="7.3"/>
    <n v="6.2"/>
    <n v="1.1000000000000001"/>
    <x v="1"/>
    <x v="2"/>
    <x v="0"/>
    <n v="4.7"/>
    <m/>
  </r>
  <r>
    <n v="2013"/>
    <x v="6"/>
    <s v="SAC"/>
    <s v="Ben McLemore"/>
    <s v="Kansas"/>
    <n v="534"/>
    <n v="12037"/>
    <n v="4743"/>
    <n v="1232"/>
    <n v="540"/>
    <n v="0.41399999999999998"/>
    <n v="0.36399999999999999"/>
    <n v="0.77600000000000002"/>
    <n v="9"/>
    <n v="3.5999999999999997E-2"/>
    <n v="-3"/>
    <n v="-3.1"/>
    <n v="22.5"/>
    <n v="8.9"/>
    <n v="2.2999999999999998"/>
    <n v="1"/>
    <x v="1"/>
    <x v="3"/>
    <x v="1"/>
    <n v="1.2857142857142858"/>
    <m/>
  </r>
  <r>
    <n v="2013"/>
    <x v="7"/>
    <s v="DET"/>
    <s v="Kentavious Caldwell-Pope"/>
    <s v="Georgia"/>
    <n v="661"/>
    <n v="19263"/>
    <n v="7530"/>
    <n v="2076"/>
    <n v="1098"/>
    <n v="0.41799999999999998"/>
    <n v="0.35799999999999998"/>
    <n v="0.80900000000000005"/>
    <n v="33.299999999999997"/>
    <n v="8.3000000000000004E-2"/>
    <n v="-0.8"/>
    <n v="5.8"/>
    <n v="29.1"/>
    <n v="11.4"/>
    <n v="3.1"/>
    <n v="1.7"/>
    <x v="1"/>
    <x v="0"/>
    <x v="0"/>
    <n v="4.1624999999999996"/>
    <m/>
  </r>
  <r>
    <n v="2013"/>
    <x v="8"/>
    <s v="MIN"/>
    <s v="Trey Burke"/>
    <s v="Michigan"/>
    <n v="488"/>
    <n v="10306"/>
    <n v="4759"/>
    <n v="873"/>
    <n v="1511"/>
    <n v="0.41199999999999998"/>
    <n v="0.34499999999999997"/>
    <n v="0.81200000000000006"/>
    <n v="13.2"/>
    <n v="6.2E-2"/>
    <n v="-1.2"/>
    <n v="1.9"/>
    <n v="21.1"/>
    <n v="9.8000000000000007"/>
    <n v="1.8"/>
    <n v="3.1"/>
    <x v="1"/>
    <x v="2"/>
    <x v="0"/>
    <n v="1.4666666666666666"/>
    <m/>
  </r>
  <r>
    <n v="2013"/>
    <x v="9"/>
    <s v="POR"/>
    <s v="CJ McCollum"/>
    <s v="Lehigh"/>
    <n v="569"/>
    <n v="17929"/>
    <n v="10852"/>
    <n v="1955"/>
    <n v="1919"/>
    <n v="0.45400000000000001"/>
    <n v="0.39700000000000002"/>
    <n v="0.81899999999999995"/>
    <n v="38.9"/>
    <n v="0.104"/>
    <n v="1.2"/>
    <n v="14.7"/>
    <n v="31.5"/>
    <n v="19.100000000000001"/>
    <n v="3.4"/>
    <n v="3.4"/>
    <x v="1"/>
    <x v="0"/>
    <x v="0"/>
    <n v="3.8899999999999997"/>
    <m/>
  </r>
  <r>
    <n v="2013"/>
    <x v="10"/>
    <s v="PHI"/>
    <s v="Michael Carter-Williams"/>
    <s v="Syracuse"/>
    <n v="391"/>
    <n v="9898"/>
    <n v="4023"/>
    <n v="1713"/>
    <n v="1701"/>
    <n v="0.40200000000000002"/>
    <n v="0.255"/>
    <n v="0.70599999999999996"/>
    <n v="6.6"/>
    <n v="3.2000000000000001E-2"/>
    <n v="-1.2"/>
    <n v="1.9"/>
    <n v="25.3"/>
    <n v="10.3"/>
    <n v="4.4000000000000004"/>
    <n v="4.4000000000000004"/>
    <x v="1"/>
    <x v="3"/>
    <x v="1"/>
    <n v="0.6"/>
    <m/>
  </r>
  <r>
    <n v="2013"/>
    <x v="11"/>
    <s v="OKC"/>
    <s v="Steven Adams"/>
    <s v="Pitt"/>
    <n v="644"/>
    <n v="17276"/>
    <n v="6022"/>
    <n v="5080"/>
    <n v="906"/>
    <n v="0.58799999999999997"/>
    <n v="7.6999999999999999E-2"/>
    <n v="0.54900000000000004"/>
    <n v="53.9"/>
    <n v="0.15"/>
    <n v="0.4"/>
    <n v="10.6"/>
    <n v="26.8"/>
    <n v="9.4"/>
    <n v="7.9"/>
    <n v="1.4"/>
    <x v="1"/>
    <x v="0"/>
    <x v="0"/>
    <n v="4.4916666666666663"/>
    <m/>
  </r>
  <r>
    <n v="2013"/>
    <x v="12"/>
    <s v="DAL"/>
    <s v="Kelly Olynyk"/>
    <s v="Gonzaga"/>
    <n v="591"/>
    <n v="13063"/>
    <n v="5984"/>
    <n v="3012"/>
    <n v="1195"/>
    <n v="0.47499999999999998"/>
    <n v="0.36399999999999999"/>
    <n v="0.77900000000000003"/>
    <n v="34"/>
    <n v="0.125"/>
    <n v="0.8"/>
    <n v="9.3000000000000007"/>
    <n v="22.1"/>
    <n v="10.1"/>
    <n v="5.0999999999999996"/>
    <n v="2"/>
    <x v="1"/>
    <x v="0"/>
    <x v="0"/>
    <n v="2.6153846153846154"/>
    <m/>
  </r>
  <r>
    <n v="2013"/>
    <x v="13"/>
    <s v="UTA"/>
    <s v="Shabazz Muhammad"/>
    <s v="UCLA"/>
    <n v="278"/>
    <n v="4772"/>
    <n v="2504"/>
    <n v="770"/>
    <n v="151"/>
    <n v="0.47299999999999998"/>
    <n v="0.31900000000000001"/>
    <n v="0.751"/>
    <n v="8.5"/>
    <n v="8.5000000000000006E-2"/>
    <n v="-2"/>
    <n v="0"/>
    <n v="17.2"/>
    <n v="9"/>
    <n v="2.8"/>
    <n v="0.5"/>
    <x v="1"/>
    <x v="3"/>
    <x v="1"/>
    <n v="0.6071428571428571"/>
    <m/>
  </r>
  <r>
    <n v="2013"/>
    <x v="14"/>
    <s v="MIL"/>
    <s v="Giannis Antetokounmpo"/>
    <m/>
    <n v="638"/>
    <n v="20754"/>
    <n v="13762"/>
    <n v="5922"/>
    <n v="2928"/>
    <n v="0.53300000000000003"/>
    <n v="0.28999999999999998"/>
    <n v="0.71799999999999997"/>
    <n v="84.4"/>
    <n v="0.19500000000000001"/>
    <n v="5.9"/>
    <n v="41.3"/>
    <n v="32.5"/>
    <n v="21.6"/>
    <n v="9.3000000000000007"/>
    <n v="4.5999999999999996"/>
    <x v="2"/>
    <x v="1"/>
    <x v="0"/>
    <n v="5.6266666666666669"/>
    <m/>
  </r>
  <r>
    <n v="2013"/>
    <x v="15"/>
    <s v="BOS"/>
    <s v="Lucas Nogueira"/>
    <m/>
    <n v="141"/>
    <n v="1754"/>
    <n v="446"/>
    <n v="388"/>
    <n v="72"/>
    <n v="0.63200000000000001"/>
    <n v="0.26500000000000001"/>
    <n v="0.64"/>
    <n v="6"/>
    <n v="0.16500000000000001"/>
    <n v="2.2999999999999998"/>
    <n v="1.9"/>
    <n v="12.4"/>
    <n v="3.2"/>
    <n v="2.8"/>
    <n v="0.5"/>
    <x v="2"/>
    <x v="3"/>
    <x v="0"/>
    <n v="0.375"/>
    <m/>
  </r>
  <r>
    <n v="2013"/>
    <x v="16"/>
    <s v="ATL"/>
    <s v="Dennis Schröder"/>
    <m/>
    <n v="609"/>
    <n v="16130"/>
    <n v="8679"/>
    <n v="1791"/>
    <n v="2842"/>
    <n v="0.436"/>
    <n v="0.33700000000000002"/>
    <n v="0.83199999999999996"/>
    <n v="23.4"/>
    <n v="7.0000000000000007E-2"/>
    <n v="-1.1000000000000001"/>
    <n v="3.5"/>
    <n v="26.5"/>
    <n v="14.3"/>
    <n v="2.9"/>
    <n v="4.7"/>
    <x v="2"/>
    <x v="2"/>
    <x v="0"/>
    <n v="1.3764705882352941"/>
    <m/>
  </r>
  <r>
    <n v="2013"/>
    <x v="17"/>
    <s v="ATL"/>
    <s v="Shane Larkin"/>
    <s v="Miami (FL)"/>
    <n v="256"/>
    <n v="4880"/>
    <n v="1399"/>
    <n v="490"/>
    <n v="737"/>
    <n v="0.42199999999999999"/>
    <n v="0.33600000000000002"/>
    <n v="0.77700000000000002"/>
    <n v="4.4000000000000004"/>
    <n v="4.3999999999999997E-2"/>
    <n v="-2.4"/>
    <n v="-0.6"/>
    <n v="19.100000000000001"/>
    <n v="5.5"/>
    <n v="1.9"/>
    <n v="2.9"/>
    <x v="2"/>
    <x v="3"/>
    <x v="0"/>
    <n v="0.24444444444444446"/>
    <m/>
  </r>
  <r>
    <n v="2013"/>
    <x v="18"/>
    <s v="CLE"/>
    <s v="Sergey Karasev"/>
    <m/>
    <n v="95"/>
    <n v="1110"/>
    <n v="287"/>
    <n v="140"/>
    <n v="87"/>
    <n v="0.39500000000000002"/>
    <n v="0.28199999999999997"/>
    <n v="0.84199999999999997"/>
    <n v="0.8"/>
    <n v="3.5999999999999997E-2"/>
    <n v="-3.4"/>
    <n v="-0.4"/>
    <n v="11.7"/>
    <n v="3"/>
    <n v="1.5"/>
    <n v="0.9"/>
    <x v="2"/>
    <x v="3"/>
    <x v="0"/>
    <n v="4.2105263157894736E-2"/>
    <m/>
  </r>
  <r>
    <n v="2013"/>
    <x v="19"/>
    <s v="CHI"/>
    <s v="Tony Snell"/>
    <s v="New Mexico"/>
    <n v="589"/>
    <n v="12870"/>
    <n v="3608"/>
    <n v="1346"/>
    <n v="663"/>
    <n v="0.43099999999999999"/>
    <n v="0.39400000000000002"/>
    <n v="0.84499999999999997"/>
    <n v="18.399999999999999"/>
    <n v="6.9000000000000006E-2"/>
    <n v="-2"/>
    <n v="0"/>
    <n v="21.9"/>
    <n v="6.1"/>
    <n v="2.2999999999999998"/>
    <n v="1.1000000000000001"/>
    <x v="2"/>
    <x v="2"/>
    <x v="0"/>
    <n v="0.91999999999999993"/>
    <m/>
  </r>
  <r>
    <n v="2013"/>
    <x v="20"/>
    <s v="UTA"/>
    <s v="Gorgui Dieng"/>
    <s v="Louisville"/>
    <n v="590"/>
    <n v="12228"/>
    <n v="4448"/>
    <n v="3418"/>
    <n v="779"/>
    <n v="0.5"/>
    <n v="0.36499999999999999"/>
    <n v="0.79100000000000004"/>
    <n v="30.5"/>
    <n v="0.12"/>
    <n v="0.4"/>
    <n v="7.2"/>
    <n v="20.7"/>
    <n v="7.5"/>
    <n v="5.8"/>
    <n v="1.3"/>
    <x v="3"/>
    <x v="0"/>
    <x v="0"/>
    <n v="1.4523809523809523"/>
    <m/>
  </r>
  <r>
    <n v="2013"/>
    <x v="21"/>
    <s v="BRK"/>
    <s v="Mason Plumlee"/>
    <s v="Duke"/>
    <n v="639"/>
    <n v="14274"/>
    <n v="5349"/>
    <n v="4222"/>
    <n v="1542"/>
    <n v="0.58199999999999996"/>
    <n v="4.9000000000000002E-2"/>
    <n v="0.56100000000000005"/>
    <n v="42.8"/>
    <n v="0.14399999999999999"/>
    <n v="1.3"/>
    <n v="11.9"/>
    <n v="22.3"/>
    <n v="8.4"/>
    <n v="6.6"/>
    <n v="2.4"/>
    <x v="3"/>
    <x v="0"/>
    <x v="0"/>
    <n v="1.9454545454545453"/>
    <m/>
  </r>
  <r>
    <n v="2013"/>
    <x v="22"/>
    <s v="IND"/>
    <s v="Solomon Hill"/>
    <s v="Arizona"/>
    <n v="448"/>
    <n v="9652"/>
    <n v="2453"/>
    <n v="1399"/>
    <n v="662"/>
    <n v="0.38800000000000001"/>
    <n v="0.33100000000000002"/>
    <n v="0.79700000000000004"/>
    <n v="11.9"/>
    <n v="5.8999999999999997E-2"/>
    <n v="-2.1"/>
    <n v="-0.3"/>
    <n v="21.5"/>
    <n v="5.5"/>
    <n v="3.1"/>
    <n v="1.5"/>
    <x v="3"/>
    <x v="2"/>
    <x v="0"/>
    <n v="0.5173913043478261"/>
    <m/>
  </r>
  <r>
    <n v="2013"/>
    <x v="23"/>
    <s v="NYK"/>
    <s v="Tim Hardaway Jr."/>
    <s v="Michigan"/>
    <n v="586"/>
    <n v="15837"/>
    <n v="8149"/>
    <n v="1650"/>
    <n v="1095"/>
    <n v="0.42199999999999999"/>
    <n v="0.35799999999999998"/>
    <n v="0.81200000000000006"/>
    <n v="26"/>
    <n v="7.9000000000000001E-2"/>
    <n v="-0.8"/>
    <n v="4.9000000000000004"/>
    <n v="27"/>
    <n v="13.9"/>
    <n v="2.8"/>
    <n v="1.9"/>
    <x v="3"/>
    <x v="2"/>
    <x v="0"/>
    <n v="1.0833333333333333"/>
    <m/>
  </r>
  <r>
    <n v="2013"/>
    <x v="24"/>
    <s v="LAC"/>
    <s v="Reggie Bullock"/>
    <s v="UNC"/>
    <n v="415"/>
    <n v="9115"/>
    <n v="3200"/>
    <n v="1021"/>
    <n v="492"/>
    <n v="0.43099999999999999"/>
    <n v="0.38800000000000001"/>
    <n v="0.84599999999999997"/>
    <n v="17.3"/>
    <n v="9.0999999999999998E-2"/>
    <n v="-0.7"/>
    <n v="3"/>
    <n v="22"/>
    <n v="7.7"/>
    <n v="2.5"/>
    <n v="1.2"/>
    <x v="3"/>
    <x v="2"/>
    <x v="0"/>
    <n v="0.69200000000000006"/>
    <m/>
  </r>
  <r>
    <n v="2013"/>
    <x v="25"/>
    <s v="MIN"/>
    <s v="Andre Roberson"/>
    <s v="Colorado"/>
    <n v="307"/>
    <n v="6801"/>
    <n v="1382"/>
    <n v="1230"/>
    <n v="265"/>
    <n v="0.47299999999999998"/>
    <n v="0.253"/>
    <n v="0.46800000000000003"/>
    <n v="12.6"/>
    <n v="8.8999999999999996E-2"/>
    <n v="-0.6"/>
    <n v="2.2999999999999998"/>
    <n v="22.2"/>
    <n v="4.5"/>
    <n v="4"/>
    <n v="0.9"/>
    <x v="3"/>
    <x v="2"/>
    <x v="0"/>
    <n v="0.48461538461538461"/>
    <m/>
  </r>
  <r>
    <n v="2013"/>
    <x v="26"/>
    <s v="DEN"/>
    <s v="Rudy Gobert"/>
    <m/>
    <n v="589"/>
    <n v="17595"/>
    <n v="7254"/>
    <n v="6802"/>
    <n v="786"/>
    <n v="0.65100000000000002"/>
    <n v="0"/>
    <n v="0.63500000000000001"/>
    <n v="82.9"/>
    <n v="0.22600000000000001"/>
    <n v="4"/>
    <n v="26.8"/>
    <n v="29.9"/>
    <n v="12.3"/>
    <n v="11.5"/>
    <n v="1.3"/>
    <x v="3"/>
    <x v="1"/>
    <x v="0"/>
    <n v="3.0703703703703704"/>
    <m/>
  </r>
  <r>
    <n v="2013"/>
    <x v="27"/>
    <s v="SAS"/>
    <s v="Livio Jean-Charles"/>
    <m/>
    <m/>
    <m/>
    <m/>
    <m/>
    <m/>
    <m/>
    <m/>
    <m/>
    <m/>
    <m/>
    <m/>
    <m/>
    <m/>
    <m/>
    <m/>
    <m/>
    <x v="3"/>
    <x v="3"/>
    <x v="0"/>
    <n v="0"/>
    <m/>
  </r>
  <r>
    <n v="2013"/>
    <x v="28"/>
    <s v="OKC"/>
    <s v="Archie Goodwin"/>
    <s v="Kentucky"/>
    <n v="165"/>
    <n v="2396"/>
    <n v="1040"/>
    <n v="331"/>
    <n v="206"/>
    <n v="0.42899999999999999"/>
    <n v="0.23599999999999999"/>
    <n v="0.7"/>
    <n v="1.1000000000000001"/>
    <n v="2.1999999999999999E-2"/>
    <n v="-3"/>
    <n v="-0.6"/>
    <n v="14.5"/>
    <n v="6.3"/>
    <n v="2"/>
    <n v="1.2"/>
    <x v="3"/>
    <x v="3"/>
    <x v="0"/>
    <n v="3.7931034482758627E-2"/>
    <m/>
  </r>
  <r>
    <n v="2013"/>
    <x v="29"/>
    <s v="PHO"/>
    <s v="Nemanja Nedović"/>
    <m/>
    <n v="24"/>
    <n v="142"/>
    <n v="26"/>
    <n v="15"/>
    <n v="13"/>
    <n v="0.20499999999999999"/>
    <n v="0.16700000000000001"/>
    <n v="0.875"/>
    <n v="-0.4"/>
    <n v="-0.13200000000000001"/>
    <n v="-10"/>
    <n v="-0.3"/>
    <n v="5.9"/>
    <n v="1.1000000000000001"/>
    <n v="0.6"/>
    <n v="0.5"/>
    <x v="3"/>
    <x v="3"/>
    <x v="0"/>
    <n v="-1.3333333333333334E-2"/>
    <m/>
  </r>
  <r>
    <n v="2014"/>
    <x v="0"/>
    <s v="CLE"/>
    <s v="Andrew Wiggins"/>
    <s v="Kansas"/>
    <n v="579"/>
    <n v="20319"/>
    <n v="11220"/>
    <n v="2553"/>
    <n v="1348"/>
    <n v="0.44900000000000001"/>
    <n v="0.35099999999999998"/>
    <n v="0.72699999999999998"/>
    <n v="23.5"/>
    <n v="5.6000000000000001E-2"/>
    <n v="-1.5"/>
    <n v="2.6"/>
    <n v="35.1"/>
    <n v="19.399999999999999"/>
    <n v="4.4000000000000004"/>
    <n v="2.2999999999999998"/>
    <x v="0"/>
    <x v="2"/>
    <x v="0"/>
    <n v="23.5"/>
    <m/>
  </r>
  <r>
    <n v="2014"/>
    <x v="1"/>
    <s v="MIL"/>
    <s v="Jabari Parker"/>
    <s v="Duke"/>
    <n v="310"/>
    <n v="8535"/>
    <n v="4380"/>
    <n v="1703"/>
    <n v="610"/>
    <n v="0.49399999999999999"/>
    <n v="0.32600000000000001"/>
    <n v="0.74299999999999999"/>
    <n v="13.9"/>
    <n v="7.8E-2"/>
    <n v="-0.8"/>
    <n v="2.5"/>
    <n v="27.5"/>
    <n v="14.1"/>
    <n v="5.5"/>
    <n v="2"/>
    <x v="0"/>
    <x v="2"/>
    <x v="0"/>
    <n v="6.95"/>
    <m/>
  </r>
  <r>
    <n v="2014"/>
    <x v="2"/>
    <s v="PHI"/>
    <s v="Joel Embiid"/>
    <s v="Kansas"/>
    <n v="306"/>
    <n v="9458"/>
    <n v="7817"/>
    <n v="3450"/>
    <n v="1003"/>
    <n v="0.48799999999999999"/>
    <n v="0.33500000000000002"/>
    <n v="0.80900000000000005"/>
    <n v="39.9"/>
    <n v="0.20200000000000001"/>
    <n v="5.8"/>
    <n v="18.5"/>
    <n v="30.9"/>
    <n v="25.5"/>
    <n v="11.3"/>
    <n v="3.3"/>
    <x v="0"/>
    <x v="0"/>
    <x v="0"/>
    <n v="13.299999999999999"/>
    <m/>
  </r>
  <r>
    <n v="2014"/>
    <x v="3"/>
    <s v="ORL"/>
    <s v="Aaron Gordon"/>
    <s v="Arizona"/>
    <n v="506"/>
    <n v="14584"/>
    <n v="6530"/>
    <n v="3178"/>
    <n v="1264"/>
    <n v="0.45700000000000002"/>
    <n v="0.32200000000000001"/>
    <n v="0.69899999999999995"/>
    <n v="27.5"/>
    <n v="0.09"/>
    <n v="0"/>
    <n v="7.2"/>
    <n v="28.8"/>
    <n v="12.9"/>
    <n v="6.3"/>
    <n v="2.5"/>
    <x v="0"/>
    <x v="2"/>
    <x v="0"/>
    <n v="6.875"/>
    <m/>
  </r>
  <r>
    <n v="2014"/>
    <x v="4"/>
    <s v="UTA"/>
    <s v="Dante Exum"/>
    <m/>
    <n v="245"/>
    <n v="4545"/>
    <n v="1389"/>
    <n v="441"/>
    <n v="515"/>
    <n v="0.40699999999999997"/>
    <n v="0.30499999999999999"/>
    <n v="0.76400000000000001"/>
    <n v="3.1"/>
    <n v="3.2000000000000001E-2"/>
    <n v="-3.3"/>
    <n v="-1.5"/>
    <n v="18.600000000000001"/>
    <n v="5.7"/>
    <n v="1.8"/>
    <n v="2.1"/>
    <x v="0"/>
    <x v="3"/>
    <x v="1"/>
    <n v="0.62"/>
    <m/>
  </r>
  <r>
    <n v="2014"/>
    <x v="5"/>
    <s v="BOS"/>
    <s v="Marcus Smart"/>
    <s v="Oklahoma State"/>
    <n v="499"/>
    <n v="14825"/>
    <n v="5161"/>
    <n v="1794"/>
    <n v="2168"/>
    <n v="0.38"/>
    <n v="0.31900000000000001"/>
    <n v="0.77800000000000002"/>
    <n v="28"/>
    <n v="9.0999999999999998E-2"/>
    <n v="-0.2"/>
    <n v="6.6"/>
    <n v="29.7"/>
    <n v="10.3"/>
    <n v="3.6"/>
    <n v="4.3"/>
    <x v="1"/>
    <x v="2"/>
    <x v="0"/>
    <n v="4.666666666666667"/>
    <m/>
  </r>
  <r>
    <n v="2014"/>
    <x v="6"/>
    <s v="LAL"/>
    <s v="Julius Randle"/>
    <s v="Kentucky"/>
    <n v="503"/>
    <n v="15635"/>
    <n v="8874"/>
    <n v="4680"/>
    <n v="1769"/>
    <n v="0.47599999999999998"/>
    <n v="0.33300000000000002"/>
    <n v="0.74299999999999999"/>
    <n v="31.1"/>
    <n v="9.5000000000000001E-2"/>
    <n v="0.4"/>
    <n v="9.4"/>
    <n v="31.1"/>
    <n v="17.600000000000001"/>
    <n v="9.3000000000000007"/>
    <n v="3.5"/>
    <x v="1"/>
    <x v="0"/>
    <x v="0"/>
    <n v="4.4428571428571431"/>
    <m/>
  </r>
  <r>
    <n v="2014"/>
    <x v="7"/>
    <s v="SAC"/>
    <s v="Nik Stauskas"/>
    <s v="Michigan"/>
    <n v="337"/>
    <n v="6686"/>
    <n v="2283"/>
    <n v="691"/>
    <n v="514"/>
    <n v="0.38900000000000001"/>
    <n v="0.35399999999999998"/>
    <n v="0.81399999999999995"/>
    <n v="3.9"/>
    <n v="2.8000000000000001E-2"/>
    <n v="-3"/>
    <n v="-1.7"/>
    <n v="19.8"/>
    <n v="6.8"/>
    <n v="2.1"/>
    <n v="1.5"/>
    <x v="1"/>
    <x v="3"/>
    <x v="1"/>
    <n v="0.48749999999999999"/>
    <m/>
  </r>
  <r>
    <n v="2014"/>
    <x v="8"/>
    <s v="CHA"/>
    <s v="Noah Vonleh"/>
    <s v="Indiana"/>
    <n v="339"/>
    <n v="5683"/>
    <n v="1660"/>
    <n v="1742"/>
    <n v="257"/>
    <n v="0.45900000000000002"/>
    <n v="0.308"/>
    <n v="0.69099999999999995"/>
    <n v="9.1999999999999993"/>
    <n v="7.8E-2"/>
    <n v="-2.4"/>
    <n v="-0.6"/>
    <n v="16.8"/>
    <n v="4.9000000000000004"/>
    <n v="5.0999999999999996"/>
    <n v="0.8"/>
    <x v="1"/>
    <x v="3"/>
    <x v="1"/>
    <n v="1.0222222222222221"/>
    <m/>
  </r>
  <r>
    <n v="2014"/>
    <x v="9"/>
    <s v="PHI"/>
    <s v="Elfrid Payton"/>
    <s v="Louisiana"/>
    <n v="488"/>
    <n v="13278"/>
    <n v="5013"/>
    <n v="1995"/>
    <n v="2851"/>
    <n v="0.44800000000000001"/>
    <n v="0.28899999999999998"/>
    <n v="0.624"/>
    <n v="16"/>
    <n v="5.8000000000000003E-2"/>
    <n v="-0.9"/>
    <n v="3.8"/>
    <n v="27.2"/>
    <n v="10.3"/>
    <n v="4.0999999999999996"/>
    <n v="5.8"/>
    <x v="1"/>
    <x v="2"/>
    <x v="0"/>
    <n v="1.6"/>
    <m/>
  </r>
  <r>
    <n v="2014"/>
    <x v="10"/>
    <s v="DEN"/>
    <s v="Doug McDermott"/>
    <s v="Creighton"/>
    <n v="519"/>
    <n v="10842"/>
    <n v="4781"/>
    <n v="1229"/>
    <n v="482"/>
    <n v="0.47699999999999998"/>
    <n v="0.41199999999999998"/>
    <n v="0.81899999999999995"/>
    <n v="19.3"/>
    <n v="8.5000000000000006E-2"/>
    <n v="-1.8"/>
    <n v="0.5"/>
    <n v="20.9"/>
    <n v="9.1999999999999993"/>
    <n v="2.4"/>
    <n v="0.9"/>
    <x v="1"/>
    <x v="2"/>
    <x v="0"/>
    <n v="1.7545454545454546"/>
    <m/>
  </r>
  <r>
    <n v="2014"/>
    <x v="11"/>
    <s v="ORL"/>
    <s v="Dario Šarić"/>
    <m/>
    <n v="356"/>
    <n v="8965"/>
    <n v="4180"/>
    <n v="2086"/>
    <n v="699"/>
    <n v="0.441"/>
    <n v="0.35699999999999998"/>
    <n v="0.83799999999999997"/>
    <n v="16.399999999999999"/>
    <n v="8.7999999999999995E-2"/>
    <n v="-0.8"/>
    <n v="2.6"/>
    <n v="25.2"/>
    <n v="11.7"/>
    <n v="5.9"/>
    <n v="2"/>
    <x v="1"/>
    <x v="2"/>
    <x v="0"/>
    <n v="1.3666666666666665"/>
    <m/>
  </r>
  <r>
    <n v="2014"/>
    <x v="12"/>
    <s v="MIN"/>
    <s v="Zach LaVine"/>
    <s v="UCLA"/>
    <n v="458"/>
    <n v="14515"/>
    <n v="8987"/>
    <n v="1796"/>
    <n v="1767"/>
    <n v="0.46100000000000002"/>
    <n v="0.38700000000000001"/>
    <n v="0.83"/>
    <n v="22.1"/>
    <n v="7.2999999999999995E-2"/>
    <n v="0.4"/>
    <n v="8.6999999999999993"/>
    <n v="31.7"/>
    <n v="19.600000000000001"/>
    <n v="3.9"/>
    <n v="3.9"/>
    <x v="1"/>
    <x v="2"/>
    <x v="0"/>
    <n v="1.7000000000000002"/>
    <m/>
  </r>
  <r>
    <n v="2014"/>
    <x v="13"/>
    <s v="PHO"/>
    <s v="T.J. Warren"/>
    <s v="NC State"/>
    <n v="332"/>
    <n v="9553"/>
    <n v="5142"/>
    <n v="1372"/>
    <n v="397"/>
    <n v="0.50700000000000001"/>
    <n v="0.35699999999999998"/>
    <n v="0.78"/>
    <n v="19.600000000000001"/>
    <n v="9.9000000000000005E-2"/>
    <n v="-0.2"/>
    <n v="4.2"/>
    <n v="28.8"/>
    <n v="15.5"/>
    <n v="4.0999999999999996"/>
    <n v="1.2"/>
    <x v="1"/>
    <x v="2"/>
    <x v="0"/>
    <n v="1.4000000000000001"/>
    <m/>
  </r>
  <r>
    <n v="2014"/>
    <x v="14"/>
    <s v="ATL"/>
    <s v="Adreian Payne"/>
    <s v="Michigan State"/>
    <n v="107"/>
    <n v="1403"/>
    <n v="429"/>
    <n v="315"/>
    <n v="66"/>
    <n v="0.40600000000000003"/>
    <n v="0.254"/>
    <n v="0.68"/>
    <n v="-0.6"/>
    <n v="-1.9E-2"/>
    <n v="-5.9"/>
    <n v="-1.4"/>
    <n v="13.1"/>
    <n v="4"/>
    <n v="2.9"/>
    <n v="0.6"/>
    <x v="2"/>
    <x v="3"/>
    <x v="0"/>
    <n v="-0.04"/>
    <m/>
  </r>
  <r>
    <n v="2014"/>
    <x v="15"/>
    <s v="CHI"/>
    <s v="Jusuf Nurkić"/>
    <m/>
    <n v="411"/>
    <n v="9815"/>
    <n v="5015"/>
    <n v="3513"/>
    <n v="903"/>
    <n v="0.5"/>
    <n v="0.23200000000000001"/>
    <n v="0.67200000000000004"/>
    <n v="24"/>
    <n v="0.11799999999999999"/>
    <n v="0.5"/>
    <n v="6.2"/>
    <n v="23.9"/>
    <n v="12.2"/>
    <n v="8.5"/>
    <n v="2.2000000000000002"/>
    <x v="2"/>
    <x v="2"/>
    <x v="0"/>
    <n v="1.5"/>
    <m/>
  </r>
  <r>
    <n v="2014"/>
    <x v="16"/>
    <s v="BOS"/>
    <s v="James Young"/>
    <s v="Kentucky"/>
    <n v="95"/>
    <n v="812"/>
    <n v="219"/>
    <n v="96"/>
    <n v="28"/>
    <n v="0.36699999999999999"/>
    <n v="0.27700000000000002"/>
    <n v="0.56299999999999994"/>
    <n v="0.8"/>
    <n v="4.5999999999999999E-2"/>
    <n v="-3.4"/>
    <n v="-0.3"/>
    <n v="8.5"/>
    <n v="2.2999999999999998"/>
    <n v="1"/>
    <n v="0.3"/>
    <x v="2"/>
    <x v="3"/>
    <x v="0"/>
    <n v="4.7058823529411764E-2"/>
    <m/>
  </r>
  <r>
    <n v="2014"/>
    <x v="17"/>
    <s v="PHO"/>
    <s v="Tyler Ennis"/>
    <s v="Syracuse"/>
    <n v="186"/>
    <n v="2336"/>
    <n v="779"/>
    <n v="250"/>
    <n v="359"/>
    <n v="0.41899999999999998"/>
    <n v="0.317"/>
    <n v="0.76800000000000002"/>
    <n v="1.3"/>
    <n v="2.5999999999999999E-2"/>
    <n v="-3.4"/>
    <n v="-0.8"/>
    <n v="12.6"/>
    <n v="4.2"/>
    <n v="1.3"/>
    <n v="1.9"/>
    <x v="2"/>
    <x v="3"/>
    <x v="0"/>
    <n v="7.2222222222222229E-2"/>
    <m/>
  </r>
  <r>
    <n v="2014"/>
    <x v="18"/>
    <s v="CHI"/>
    <s v="Gary Harris"/>
    <s v="Michigan State"/>
    <n v="459"/>
    <n v="13270"/>
    <n v="5442"/>
    <n v="1151"/>
    <n v="957"/>
    <n v="0.44900000000000001"/>
    <n v="0.36199999999999999"/>
    <n v="0.80900000000000005"/>
    <n v="20.3"/>
    <n v="7.2999999999999995E-2"/>
    <n v="-1.4"/>
    <n v="2"/>
    <n v="28.9"/>
    <n v="11.9"/>
    <n v="2.5"/>
    <n v="2.1"/>
    <x v="2"/>
    <x v="2"/>
    <x v="0"/>
    <n v="1.0684210526315789"/>
    <m/>
  </r>
  <r>
    <n v="2014"/>
    <x v="19"/>
    <s v="TOR"/>
    <s v="Bruno Caboclo"/>
    <m/>
    <n v="105"/>
    <n v="1293"/>
    <n v="442"/>
    <n v="268"/>
    <n v="72"/>
    <n v="0.40300000000000002"/>
    <n v="0.308"/>
    <n v="0.83599999999999997"/>
    <n v="1.5"/>
    <n v="5.3999999999999999E-2"/>
    <n v="-2.7"/>
    <n v="-0.2"/>
    <n v="12.3"/>
    <n v="4.2"/>
    <n v="2.6"/>
    <n v="0.7"/>
    <x v="2"/>
    <x v="3"/>
    <x v="0"/>
    <n v="7.4999999999999997E-2"/>
    <m/>
  </r>
  <r>
    <n v="2014"/>
    <x v="20"/>
    <s v="OKC"/>
    <s v="Mitch McGary"/>
    <s v="Michigan"/>
    <n v="52"/>
    <n v="557"/>
    <n v="227"/>
    <n v="183"/>
    <n v="17"/>
    <n v="0.52700000000000002"/>
    <n v="0"/>
    <n v="0.57999999999999996"/>
    <n v="1.3"/>
    <n v="0.108"/>
    <n v="-2.6"/>
    <n v="-0.1"/>
    <n v="10.7"/>
    <n v="4.4000000000000004"/>
    <n v="3.5"/>
    <n v="0.3"/>
    <x v="3"/>
    <x v="3"/>
    <x v="0"/>
    <n v="6.1904761904761907E-2"/>
    <m/>
  </r>
  <r>
    <n v="2014"/>
    <x v="21"/>
    <s v="MEM"/>
    <s v="Jordan Adams"/>
    <s v="UCLA"/>
    <n v="32"/>
    <n v="263"/>
    <n v="101"/>
    <n v="30"/>
    <n v="19"/>
    <n v="0.40200000000000002"/>
    <n v="0.38500000000000001"/>
    <n v="0.60699999999999998"/>
    <n v="0.4"/>
    <n v="7.0000000000000007E-2"/>
    <n v="1.7"/>
    <n v="0.2"/>
    <n v="8.1999999999999993"/>
    <n v="3.2"/>
    <n v="0.9"/>
    <n v="0.6"/>
    <x v="3"/>
    <x v="3"/>
    <x v="0"/>
    <n v="1.8181818181818184E-2"/>
    <m/>
  </r>
  <r>
    <n v="2014"/>
    <x v="22"/>
    <s v="UTA"/>
    <s v="Rodney Hood"/>
    <s v="Duke"/>
    <n v="437"/>
    <n v="10863"/>
    <n v="4622"/>
    <n v="1151"/>
    <n v="729"/>
    <n v="0.41899999999999998"/>
    <n v="0.36399999999999999"/>
    <n v="0.84099999999999997"/>
    <n v="17.2"/>
    <n v="7.5999999999999998E-2"/>
    <n v="-1.2"/>
    <n v="2.1"/>
    <n v="24.9"/>
    <n v="10.6"/>
    <n v="2.6"/>
    <n v="1.7"/>
    <x v="3"/>
    <x v="2"/>
    <x v="0"/>
    <n v="0.74782608695652175"/>
    <m/>
  </r>
  <r>
    <n v="2014"/>
    <x v="23"/>
    <s v="CHA"/>
    <s v="Shabazz Napier"/>
    <s v="UConn"/>
    <n v="345"/>
    <n v="5986"/>
    <n v="2433"/>
    <n v="657"/>
    <n v="849"/>
    <n v="0.39700000000000002"/>
    <n v="0.34499999999999997"/>
    <n v="0.81499999999999995"/>
    <n v="8.1"/>
    <n v="6.5000000000000002E-2"/>
    <n v="-0.7"/>
    <n v="2"/>
    <n v="17.399999999999999"/>
    <n v="7.1"/>
    <n v="1.9"/>
    <n v="2.5"/>
    <x v="3"/>
    <x v="3"/>
    <x v="0"/>
    <n v="0.33749999999999997"/>
    <m/>
  </r>
  <r>
    <n v="2014"/>
    <x v="24"/>
    <s v="HOU"/>
    <s v="Clint Capela"/>
    <m/>
    <n v="447"/>
    <n v="11974"/>
    <n v="5566"/>
    <n v="4749"/>
    <n v="443"/>
    <n v="0.622"/>
    <n v="0"/>
    <n v="0.52800000000000002"/>
    <n v="49.8"/>
    <n v="0.2"/>
    <n v="2"/>
    <n v="12.1"/>
    <n v="26.8"/>
    <n v="12.5"/>
    <n v="10.6"/>
    <n v="1"/>
    <x v="3"/>
    <x v="0"/>
    <x v="0"/>
    <n v="1.992"/>
    <m/>
  </r>
  <r>
    <n v="2014"/>
    <x v="25"/>
    <s v="MIA"/>
    <s v="P.J. Hairston"/>
    <s v="UNC"/>
    <n v="111"/>
    <n v="2000"/>
    <n v="664"/>
    <n v="266"/>
    <n v="59"/>
    <n v="0.34300000000000003"/>
    <n v="0.29499999999999998"/>
    <n v="0.81"/>
    <n v="0.9"/>
    <n v="2.1000000000000001E-2"/>
    <n v="-3.9"/>
    <n v="-1"/>
    <n v="18"/>
    <n v="6"/>
    <n v="2.4"/>
    <n v="0.5"/>
    <x v="3"/>
    <x v="3"/>
    <x v="0"/>
    <n v="3.4615384615384617E-2"/>
    <m/>
  </r>
  <r>
    <n v="2014"/>
    <x v="26"/>
    <s v="PHO"/>
    <s v="Bogdan Bogdanović"/>
    <m/>
    <n v="293"/>
    <n v="8342"/>
    <n v="4082"/>
    <n v="987"/>
    <n v="999"/>
    <n v="0.44"/>
    <n v="0.38600000000000001"/>
    <n v="0.81599999999999995"/>
    <n v="14.5"/>
    <n v="8.4000000000000005E-2"/>
    <n v="0.3"/>
    <n v="4.8"/>
    <n v="28.5"/>
    <n v="13.9"/>
    <n v="3.4"/>
    <n v="3.4"/>
    <x v="3"/>
    <x v="2"/>
    <x v="0"/>
    <n v="0.53703703703703709"/>
    <m/>
  </r>
  <r>
    <n v="2014"/>
    <x v="27"/>
    <s v="LAC"/>
    <s v="C.J. Wilcox"/>
    <s v="Washington"/>
    <n v="66"/>
    <n v="376"/>
    <n v="132"/>
    <n v="31"/>
    <n v="30"/>
    <n v="0.37"/>
    <n v="0.33300000000000002"/>
    <n v="0.81299999999999994"/>
    <n v="0.1"/>
    <n v="7.0000000000000001E-3"/>
    <n v="-4.3"/>
    <n v="-0.2"/>
    <n v="5.7"/>
    <n v="2"/>
    <n v="0.5"/>
    <n v="0.5"/>
    <x v="3"/>
    <x v="3"/>
    <x v="0"/>
    <n v="3.5714285714285718E-3"/>
    <m/>
  </r>
  <r>
    <n v="2014"/>
    <x v="28"/>
    <s v="OKC"/>
    <s v="Josh Huestis"/>
    <s v="Stanford"/>
    <n v="76"/>
    <n v="1068"/>
    <n v="187"/>
    <n v="180"/>
    <n v="23"/>
    <n v="0.34599999999999997"/>
    <n v="0.312"/>
    <n v="0.24"/>
    <n v="0.7"/>
    <n v="0.03"/>
    <n v="-3.5"/>
    <n v="-0.4"/>
    <n v="14.1"/>
    <n v="2.5"/>
    <n v="2.4"/>
    <n v="0.3"/>
    <x v="3"/>
    <x v="3"/>
    <x v="0"/>
    <n v="2.4137931034482758E-2"/>
    <m/>
  </r>
  <r>
    <n v="2014"/>
    <x v="29"/>
    <s v="SAS"/>
    <s v="Kyle Anderson"/>
    <s v="UCLA"/>
    <n v="483"/>
    <n v="10121"/>
    <n v="3202"/>
    <n v="2098"/>
    <n v="1109"/>
    <n v="0.47599999999999998"/>
    <n v="0.33500000000000002"/>
    <n v="0.71399999999999997"/>
    <n v="25.7"/>
    <n v="0.122"/>
    <n v="1.7"/>
    <n v="9.5"/>
    <n v="21"/>
    <n v="6.6"/>
    <n v="4.3"/>
    <n v="2.2999999999999998"/>
    <x v="3"/>
    <x v="2"/>
    <x v="0"/>
    <n v="0.85666666666666669"/>
    <m/>
  </r>
  <r>
    <n v="2015"/>
    <x v="0"/>
    <s v="MIN"/>
    <s v="Karl-Anthony Towns"/>
    <s v="Kentucky"/>
    <n v="460"/>
    <n v="15779"/>
    <n v="10621"/>
    <n v="5243"/>
    <n v="1424"/>
    <n v="0.52700000000000002"/>
    <n v="0.39600000000000002"/>
    <n v="0.83299999999999996"/>
    <n v="63"/>
    <n v="0.192"/>
    <n v="4.8"/>
    <n v="27.2"/>
    <n v="34.299999999999997"/>
    <n v="23.1"/>
    <n v="11.4"/>
    <n v="3.1"/>
    <x v="0"/>
    <x v="0"/>
    <x v="0"/>
    <n v="63"/>
    <m/>
  </r>
  <r>
    <n v="2015"/>
    <x v="1"/>
    <s v="LAL"/>
    <s v="D'Angelo Russell"/>
    <s v="Ohio State"/>
    <n v="404"/>
    <n v="11849"/>
    <n v="7175"/>
    <n v="1444"/>
    <n v="2225"/>
    <n v="0.42"/>
    <n v="0.35899999999999999"/>
    <n v="0.77500000000000002"/>
    <n v="13.2"/>
    <n v="5.2999999999999999E-2"/>
    <n v="0.6"/>
    <n v="7.8"/>
    <n v="29.3"/>
    <n v="17.8"/>
    <n v="3.6"/>
    <n v="5.5"/>
    <x v="0"/>
    <x v="2"/>
    <x v="0"/>
    <n v="6.6"/>
    <m/>
  </r>
  <r>
    <n v="2015"/>
    <x v="2"/>
    <s v="PHI"/>
    <s v="Jahlil Okafor"/>
    <s v="Duke"/>
    <n v="247"/>
    <n v="4827"/>
    <n v="2566"/>
    <n v="1169"/>
    <n v="225"/>
    <n v="0.54200000000000004"/>
    <n v="0.222"/>
    <n v="0.67600000000000005"/>
    <n v="7.2"/>
    <n v="7.0999999999999994E-2"/>
    <n v="-2"/>
    <n v="0"/>
    <n v="19.5"/>
    <n v="10.4"/>
    <n v="4.7"/>
    <n v="0.9"/>
    <x v="0"/>
    <x v="3"/>
    <x v="1"/>
    <n v="2.4"/>
    <m/>
  </r>
  <r>
    <n v="2015"/>
    <x v="3"/>
    <s v="NYK"/>
    <s v="Kristaps Porziņģis"/>
    <m/>
    <n v="320"/>
    <n v="9907"/>
    <n v="5995"/>
    <n v="2499"/>
    <n v="487"/>
    <n v="0.442"/>
    <n v="0.35299999999999998"/>
    <n v="0.81599999999999995"/>
    <n v="25.1"/>
    <n v="0.122"/>
    <n v="1.5"/>
    <n v="8.8000000000000007"/>
    <n v="31"/>
    <n v="18.7"/>
    <n v="7.8"/>
    <n v="1.5"/>
    <x v="0"/>
    <x v="2"/>
    <x v="0"/>
    <n v="6.2750000000000004"/>
    <m/>
  </r>
  <r>
    <n v="2015"/>
    <x v="4"/>
    <s v="ORL"/>
    <s v="Mario Hezonja"/>
    <m/>
    <n v="330"/>
    <n v="6107"/>
    <n v="2284"/>
    <n v="1026"/>
    <n v="415"/>
    <n v="0.41699999999999998"/>
    <n v="0.31900000000000001"/>
    <n v="0.81200000000000006"/>
    <n v="3.2"/>
    <n v="2.5000000000000001E-2"/>
    <n v="-2.8"/>
    <n v="-1.2"/>
    <n v="18.5"/>
    <n v="6.9"/>
    <n v="3.1"/>
    <n v="1.3"/>
    <x v="0"/>
    <x v="3"/>
    <x v="1"/>
    <n v="0.64"/>
    <m/>
  </r>
  <r>
    <n v="2015"/>
    <x v="5"/>
    <s v="SAC"/>
    <s v="Willie Cauley-Stein"/>
    <s v="Kentucky"/>
    <n v="420"/>
    <n v="9270"/>
    <n v="3675"/>
    <n v="2468"/>
    <n v="597"/>
    <n v="0.54400000000000004"/>
    <n v="0.188"/>
    <n v="0.61199999999999999"/>
    <n v="23.3"/>
    <n v="0.121"/>
    <n v="-0.1"/>
    <n v="4.4000000000000004"/>
    <n v="22.1"/>
    <n v="8.8000000000000007"/>
    <n v="5.9"/>
    <n v="1.4"/>
    <x v="1"/>
    <x v="2"/>
    <x v="0"/>
    <n v="3.8833333333333333"/>
    <m/>
  </r>
  <r>
    <n v="2015"/>
    <x v="6"/>
    <s v="DEN"/>
    <s v="Emmanuel Mudiay"/>
    <m/>
    <n v="302"/>
    <n v="7187"/>
    <n v="3299"/>
    <n v="884"/>
    <n v="1143"/>
    <n v="0.40100000000000002"/>
    <n v="0.32300000000000001"/>
    <n v="0.74399999999999999"/>
    <n v="-0.2"/>
    <n v="-1E-3"/>
    <n v="-3.2"/>
    <n v="-2.2000000000000002"/>
    <n v="23.8"/>
    <n v="10.9"/>
    <n v="2.9"/>
    <n v="3.8"/>
    <x v="1"/>
    <x v="3"/>
    <x v="1"/>
    <n v="-2.8571428571428574E-2"/>
    <m/>
  </r>
  <r>
    <n v="2015"/>
    <x v="7"/>
    <s v="DET"/>
    <s v="Stanley Johnson"/>
    <s v="Arizona"/>
    <n v="395"/>
    <n v="7844"/>
    <n v="2467"/>
    <n v="1230"/>
    <n v="565"/>
    <n v="0.38"/>
    <n v="0.29899999999999999"/>
    <n v="0.755"/>
    <n v="5.4"/>
    <n v="3.3000000000000002E-2"/>
    <n v="-2.8"/>
    <n v="-1.7"/>
    <n v="19.899999999999999"/>
    <n v="6.2"/>
    <n v="3.1"/>
    <n v="1.4"/>
    <x v="1"/>
    <x v="3"/>
    <x v="1"/>
    <n v="0.67500000000000004"/>
    <m/>
  </r>
  <r>
    <n v="2015"/>
    <x v="8"/>
    <s v="CHA"/>
    <s v="Frank Kaminsky"/>
    <s v="Wisconsin"/>
    <n v="377"/>
    <n v="7925"/>
    <n v="3541"/>
    <n v="1527"/>
    <n v="619"/>
    <n v="0.42899999999999999"/>
    <n v="0.34799999999999998"/>
    <n v="0.74299999999999999"/>
    <n v="15.3"/>
    <n v="9.2999999999999999E-2"/>
    <n v="-0.3"/>
    <n v="3.4"/>
    <n v="21"/>
    <n v="9.4"/>
    <n v="4.0999999999999996"/>
    <n v="1.6"/>
    <x v="1"/>
    <x v="2"/>
    <x v="0"/>
    <n v="1.7000000000000002"/>
    <m/>
  </r>
  <r>
    <n v="2015"/>
    <x v="9"/>
    <s v="MIA"/>
    <s v="Justise Winslow"/>
    <s v="Duke"/>
    <n v="310"/>
    <n v="8022"/>
    <n v="2587"/>
    <n v="1590"/>
    <n v="779"/>
    <n v="0.41399999999999998"/>
    <n v="0.316"/>
    <n v="0.63800000000000001"/>
    <n v="8"/>
    <n v="4.8000000000000001E-2"/>
    <n v="-2"/>
    <n v="0"/>
    <n v="25.9"/>
    <n v="8.3000000000000007"/>
    <n v="5.0999999999999996"/>
    <n v="2.5"/>
    <x v="1"/>
    <x v="3"/>
    <x v="1"/>
    <n v="0.8"/>
    <m/>
  </r>
  <r>
    <n v="2015"/>
    <x v="10"/>
    <s v="IND"/>
    <s v="Myles Turner"/>
    <s v="Texas"/>
    <n v="431"/>
    <n v="12379"/>
    <n v="5485"/>
    <n v="2879"/>
    <n v="513"/>
    <n v="0.48899999999999999"/>
    <n v="0.34899999999999998"/>
    <n v="0.76800000000000002"/>
    <n v="33.1"/>
    <n v="0.128"/>
    <n v="0.7"/>
    <n v="8.3000000000000007"/>
    <n v="28.7"/>
    <n v="12.7"/>
    <n v="6.7"/>
    <n v="1.2"/>
    <x v="1"/>
    <x v="0"/>
    <x v="0"/>
    <n v="3.0090909090909093"/>
    <m/>
  </r>
  <r>
    <n v="2015"/>
    <x v="11"/>
    <s v="UTA"/>
    <s v="Trey Lyles"/>
    <s v="Kentucky"/>
    <n v="427"/>
    <n v="7678"/>
    <n v="3253"/>
    <n v="1821"/>
    <n v="447"/>
    <n v="0.438"/>
    <n v="0.33600000000000002"/>
    <n v="0.72599999999999998"/>
    <n v="13.1"/>
    <n v="8.2000000000000003E-2"/>
    <n v="-1.1000000000000001"/>
    <n v="1.8"/>
    <n v="18"/>
    <n v="7.6"/>
    <n v="4.3"/>
    <n v="1"/>
    <x v="1"/>
    <x v="2"/>
    <x v="0"/>
    <n v="1.0916666666666666"/>
    <m/>
  </r>
  <r>
    <n v="2015"/>
    <x v="12"/>
    <s v="PHO"/>
    <s v="Devin Booker"/>
    <s v="Kentucky"/>
    <n v="460"/>
    <n v="15468"/>
    <n v="10695"/>
    <n v="1788"/>
    <n v="2126"/>
    <n v="0.45400000000000001"/>
    <n v="0.35399999999999998"/>
    <n v="0.86899999999999999"/>
    <n v="27.2"/>
    <n v="8.5000000000000006E-2"/>
    <n v="0.2"/>
    <n v="8.6999999999999993"/>
    <n v="33.6"/>
    <n v="23.3"/>
    <n v="3.9"/>
    <n v="4.5999999999999996"/>
    <x v="1"/>
    <x v="2"/>
    <x v="0"/>
    <n v="2.0923076923076924"/>
    <m/>
  </r>
  <r>
    <n v="2015"/>
    <x v="13"/>
    <s v="OKC"/>
    <s v="Cameron Payne"/>
    <s v="Murray State"/>
    <n v="261"/>
    <n v="4531"/>
    <n v="1924"/>
    <n v="559"/>
    <n v="767"/>
    <n v="0.42099999999999999"/>
    <n v="0.36499999999999999"/>
    <n v="0.83499999999999996"/>
    <n v="7.1"/>
    <n v="7.4999999999999997E-2"/>
    <n v="-0.6"/>
    <n v="1.6"/>
    <n v="17.399999999999999"/>
    <n v="7.4"/>
    <n v="2.1"/>
    <n v="2.9"/>
    <x v="1"/>
    <x v="3"/>
    <x v="1"/>
    <n v="0.50714285714285712"/>
    <m/>
  </r>
  <r>
    <n v="2015"/>
    <x v="14"/>
    <s v="ATL"/>
    <s v="Kelly Oubre Jr."/>
    <s v="Kansas"/>
    <n v="457"/>
    <n v="11600"/>
    <n v="5508"/>
    <n v="1995"/>
    <n v="461"/>
    <n v="0.433"/>
    <n v="0.32900000000000001"/>
    <n v="0.754"/>
    <n v="16.7"/>
    <n v="6.9000000000000006E-2"/>
    <n v="-1.8"/>
    <n v="0.4"/>
    <n v="25.4"/>
    <n v="12.1"/>
    <n v="4.4000000000000004"/>
    <n v="1"/>
    <x v="2"/>
    <x v="2"/>
    <x v="0"/>
    <n v="1.1133333333333333"/>
    <m/>
  </r>
  <r>
    <n v="2015"/>
    <x v="15"/>
    <s v="BOS"/>
    <s v="Terry Rozier"/>
    <s v="Louisville"/>
    <n v="455"/>
    <n v="11701"/>
    <n v="5584"/>
    <n v="1770"/>
    <n v="1400"/>
    <n v="0.41299999999999998"/>
    <n v="0.373"/>
    <n v="0.81499999999999995"/>
    <n v="21.6"/>
    <n v="8.8999999999999996E-2"/>
    <n v="0.4"/>
    <n v="7.2"/>
    <n v="25.7"/>
    <n v="12.3"/>
    <n v="3.9"/>
    <n v="3.1"/>
    <x v="2"/>
    <x v="2"/>
    <x v="0"/>
    <n v="1.35"/>
    <m/>
  </r>
  <r>
    <n v="2015"/>
    <x v="16"/>
    <s v="MIL"/>
    <s v="Rashad Vaughn"/>
    <s v="UNLV"/>
    <n v="139"/>
    <n v="1671"/>
    <n v="423"/>
    <n v="158"/>
    <n v="75"/>
    <n v="0.33700000000000002"/>
    <n v="0.313"/>
    <n v="0.69199999999999995"/>
    <n v="-0.6"/>
    <n v="-1.7000000000000001E-2"/>
    <n v="-4.7"/>
    <n v="-1.2"/>
    <n v="12"/>
    <n v="3"/>
    <n v="1.1000000000000001"/>
    <n v="0.5"/>
    <x v="2"/>
    <x v="3"/>
    <x v="0"/>
    <n v="-3.5294117647058823E-2"/>
    <m/>
  </r>
  <r>
    <n v="2015"/>
    <x v="17"/>
    <s v="HOU"/>
    <s v="Sam Dekker"/>
    <s v="Wisconsin"/>
    <n v="201"/>
    <n v="3097"/>
    <n v="1094"/>
    <n v="607"/>
    <n v="160"/>
    <n v="0.47799999999999998"/>
    <n v="0.28799999999999998"/>
    <n v="0.60599999999999998"/>
    <n v="5.4"/>
    <n v="8.3000000000000004E-2"/>
    <n v="-1.4"/>
    <n v="0.5"/>
    <n v="15.4"/>
    <n v="5.4"/>
    <n v="3"/>
    <n v="0.8"/>
    <x v="2"/>
    <x v="3"/>
    <x v="0"/>
    <n v="0.30000000000000004"/>
    <m/>
  </r>
  <r>
    <n v="2015"/>
    <x v="18"/>
    <s v="WAS"/>
    <s v="Jerian Grant"/>
    <s v="Notre Dame"/>
    <n v="279"/>
    <n v="4998"/>
    <n v="1692"/>
    <n v="530"/>
    <n v="805"/>
    <n v="0.41099999999999998"/>
    <n v="0.32300000000000001"/>
    <n v="0.77"/>
    <n v="8.3000000000000007"/>
    <n v="0.08"/>
    <n v="-1.6"/>
    <n v="0.5"/>
    <n v="17.899999999999999"/>
    <n v="6.1"/>
    <n v="1.9"/>
    <n v="2.9"/>
    <x v="2"/>
    <x v="3"/>
    <x v="0"/>
    <n v="0.43684210526315792"/>
    <m/>
  </r>
  <r>
    <n v="2015"/>
    <x v="19"/>
    <s v="TOR"/>
    <s v="Delon Wright"/>
    <s v="Utah"/>
    <n v="387"/>
    <n v="8088"/>
    <n v="2840"/>
    <n v="1251"/>
    <n v="1189"/>
    <n v="0.45200000000000001"/>
    <n v="0.35299999999999998"/>
    <n v="0.79500000000000004"/>
    <n v="21.3"/>
    <n v="0.126"/>
    <n v="2"/>
    <n v="8.1999999999999993"/>
    <n v="20.9"/>
    <n v="7.3"/>
    <n v="3.2"/>
    <n v="3.1"/>
    <x v="2"/>
    <x v="2"/>
    <x v="0"/>
    <n v="1.0649999999999999"/>
    <m/>
  </r>
  <r>
    <n v="2015"/>
    <x v="20"/>
    <s v="DAL"/>
    <s v="Justin Anderson"/>
    <s v="Virginia"/>
    <n v="232"/>
    <n v="3041"/>
    <n v="1203"/>
    <n v="585"/>
    <n v="160"/>
    <n v="0.41199999999999998"/>
    <n v="0.29299999999999998"/>
    <n v="0.77600000000000002"/>
    <n v="4.7"/>
    <n v="7.3999999999999996E-2"/>
    <n v="-1.4"/>
    <n v="0.4"/>
    <n v="13.1"/>
    <n v="5.2"/>
    <n v="2.5"/>
    <n v="0.7"/>
    <x v="3"/>
    <x v="3"/>
    <x v="0"/>
    <n v="0.22380952380952382"/>
    <m/>
  </r>
  <r>
    <n v="2015"/>
    <x v="21"/>
    <s v="CHI"/>
    <s v="Bobby Portis"/>
    <s v="Arkansas"/>
    <n v="432"/>
    <n v="9277"/>
    <n v="4751"/>
    <n v="2803"/>
    <n v="517"/>
    <n v="0.47"/>
    <n v="0.38400000000000001"/>
    <n v="0.752"/>
    <n v="19.899999999999999"/>
    <n v="0.10299999999999999"/>
    <n v="-0.6"/>
    <n v="3.2"/>
    <n v="21.5"/>
    <n v="11"/>
    <n v="6.5"/>
    <n v="1.2"/>
    <x v="3"/>
    <x v="2"/>
    <x v="0"/>
    <n v="0.90454545454545443"/>
    <m/>
  </r>
  <r>
    <n v="2015"/>
    <x v="22"/>
    <s v="POR"/>
    <s v="Rondae Hollis-Jefferson"/>
    <s v="Arizona"/>
    <n v="305"/>
    <n v="6759"/>
    <n v="2760"/>
    <n v="1684"/>
    <n v="579"/>
    <n v="0.44900000000000001"/>
    <n v="0.21199999999999999"/>
    <n v="0.73499999999999999"/>
    <n v="12.9"/>
    <n v="9.0999999999999998E-2"/>
    <n v="-0.7"/>
    <n v="2.2999999999999998"/>
    <n v="22.2"/>
    <n v="9"/>
    <n v="5.5"/>
    <n v="1.9"/>
    <x v="3"/>
    <x v="2"/>
    <x v="0"/>
    <n v="0.56086956521739129"/>
    <m/>
  </r>
  <r>
    <n v="2015"/>
    <x v="23"/>
    <s v="CLE"/>
    <s v="Tyus Jones"/>
    <s v="Duke"/>
    <n v="435"/>
    <n v="7926"/>
    <n v="2604"/>
    <n v="754"/>
    <n v="1589"/>
    <n v="0.435"/>
    <n v="0.34300000000000003"/>
    <n v="0.82399999999999995"/>
    <n v="17.7"/>
    <n v="0.107"/>
    <n v="0.3"/>
    <n v="4.5999999999999996"/>
    <n v="18.2"/>
    <n v="6"/>
    <n v="1.7"/>
    <n v="3.7"/>
    <x v="3"/>
    <x v="2"/>
    <x v="0"/>
    <n v="0.73749999999999993"/>
    <m/>
  </r>
  <r>
    <n v="2015"/>
    <x v="24"/>
    <s v="MEM"/>
    <s v="Jarell Martin"/>
    <s v="LSU"/>
    <n v="184"/>
    <n v="2927"/>
    <n v="998"/>
    <n v="639"/>
    <n v="114"/>
    <n v="0.434"/>
    <n v="0.34599999999999997"/>
    <n v="0.76600000000000001"/>
    <n v="3.2"/>
    <n v="5.2999999999999999E-2"/>
    <n v="-4.3"/>
    <n v="-1.7"/>
    <n v="15.9"/>
    <n v="5.4"/>
    <n v="3.5"/>
    <n v="0.6"/>
    <x v="3"/>
    <x v="3"/>
    <x v="0"/>
    <n v="0.128"/>
    <m/>
  </r>
  <r>
    <n v="2015"/>
    <x v="25"/>
    <s v="SAS"/>
    <s v="Nikola Milutinov"/>
    <m/>
    <m/>
    <m/>
    <m/>
    <m/>
    <m/>
    <m/>
    <m/>
    <m/>
    <m/>
    <m/>
    <m/>
    <m/>
    <m/>
    <m/>
    <m/>
    <m/>
    <x v="3"/>
    <x v="3"/>
    <x v="0"/>
    <n v="0"/>
    <m/>
  </r>
  <r>
    <n v="2015"/>
    <x v="26"/>
    <s v="LAL"/>
    <s v="Larry Nance Jr."/>
    <s v="Wyoming"/>
    <n v="387"/>
    <n v="9345"/>
    <n v="3144"/>
    <n v="2538"/>
    <n v="739"/>
    <n v="0.52800000000000002"/>
    <n v="0.33"/>
    <n v="0.68400000000000005"/>
    <n v="24.3"/>
    <n v="0.125"/>
    <n v="1.1000000000000001"/>
    <n v="7.3"/>
    <n v="24.1"/>
    <n v="8.1"/>
    <n v="6.6"/>
    <n v="1.9"/>
    <x v="3"/>
    <x v="2"/>
    <x v="0"/>
    <n v="0.9"/>
    <m/>
  </r>
  <r>
    <n v="2015"/>
    <x v="27"/>
    <s v="BOS"/>
    <s v="R.J. Hunter"/>
    <s v="Georgia State University"/>
    <n v="45"/>
    <n v="395"/>
    <n v="133"/>
    <n v="46"/>
    <n v="19"/>
    <n v="0.371"/>
    <n v="0.29499999999999998"/>
    <n v="0.81799999999999995"/>
    <n v="0.4"/>
    <n v="5.0999999999999997E-2"/>
    <n v="-2"/>
    <n v="0"/>
    <n v="8.8000000000000007"/>
    <n v="3"/>
    <n v="1"/>
    <n v="0.4"/>
    <x v="3"/>
    <x v="3"/>
    <x v="0"/>
    <n v="1.4285714285714287E-2"/>
    <m/>
  </r>
  <r>
    <n v="2015"/>
    <x v="28"/>
    <s v="BRK"/>
    <s v="Chris McCullough"/>
    <s v="Syracuse"/>
    <n v="59"/>
    <n v="532"/>
    <n v="194"/>
    <n v="112"/>
    <n v="15"/>
    <n v="0.42599999999999999"/>
    <n v="0.30599999999999999"/>
    <n v="0.54800000000000004"/>
    <n v="0.6"/>
    <n v="5.3999999999999999E-2"/>
    <n v="-2.5"/>
    <n v="-0.1"/>
    <n v="9"/>
    <n v="3.3"/>
    <n v="1.9"/>
    <n v="0.3"/>
    <x v="3"/>
    <x v="3"/>
    <x v="0"/>
    <n v="2.0689655172413793E-2"/>
    <m/>
  </r>
  <r>
    <n v="2015"/>
    <x v="29"/>
    <s v="GSW"/>
    <s v="Kevon Looney"/>
    <s v="UCLA"/>
    <n v="344"/>
    <n v="5545"/>
    <n v="1603"/>
    <n v="1600"/>
    <n v="436"/>
    <n v="0.56200000000000006"/>
    <n v="0.17199999999999999"/>
    <n v="0.61499999999999999"/>
    <n v="18.5"/>
    <n v="0.16"/>
    <n v="-0.5"/>
    <n v="2.1"/>
    <n v="16.100000000000001"/>
    <n v="4.7"/>
    <n v="4.7"/>
    <n v="1.3"/>
    <x v="3"/>
    <x v="2"/>
    <x v="0"/>
    <n v="0.6166666666666667"/>
    <m/>
  </r>
  <r>
    <n v="2016"/>
    <x v="0"/>
    <s v="PHI"/>
    <s v="Ben Simmons"/>
    <s v="LSU"/>
    <n v="275"/>
    <n v="9326"/>
    <n v="4382"/>
    <n v="2217"/>
    <n v="2127"/>
    <n v="0.56000000000000005"/>
    <n v="0.14699999999999999"/>
    <n v="0.59699999999999998"/>
    <n v="30.4"/>
    <n v="0.156"/>
    <n v="3.7"/>
    <n v="13.5"/>
    <n v="33.9"/>
    <n v="15.9"/>
    <n v="8.1"/>
    <n v="7.7"/>
    <x v="0"/>
    <x v="0"/>
    <x v="0"/>
    <n v="30.4"/>
    <m/>
  </r>
  <r>
    <n v="2016"/>
    <x v="1"/>
    <s v="LAL"/>
    <s v="Brandon Ingram"/>
    <s v="Duke"/>
    <n v="358"/>
    <n v="11756"/>
    <n v="6559"/>
    <n v="1832"/>
    <n v="1346"/>
    <n v="0.45900000000000002"/>
    <n v="0.36199999999999999"/>
    <n v="0.76500000000000001"/>
    <n v="17.399999999999999"/>
    <n v="7.0999999999999994E-2"/>
    <n v="-0.5"/>
    <n v="4.5999999999999996"/>
    <n v="32.799999999999997"/>
    <n v="18.3"/>
    <n v="5.0999999999999996"/>
    <n v="3.8"/>
    <x v="0"/>
    <x v="2"/>
    <x v="0"/>
    <n v="8.6999999999999993"/>
    <m/>
  </r>
  <r>
    <n v="2016"/>
    <x v="2"/>
    <s v="BOS"/>
    <s v="Jaylen Brown"/>
    <s v="California"/>
    <n v="383"/>
    <n v="10918"/>
    <n v="6177"/>
    <n v="1891"/>
    <n v="741"/>
    <n v="0.47"/>
    <n v="0.373"/>
    <n v="0.71199999999999997"/>
    <n v="22.5"/>
    <n v="9.9000000000000005E-2"/>
    <n v="0"/>
    <n v="5.5"/>
    <n v="28.5"/>
    <n v="16.100000000000001"/>
    <n v="4.9000000000000004"/>
    <n v="1.9"/>
    <x v="0"/>
    <x v="2"/>
    <x v="0"/>
    <n v="7.5"/>
    <m/>
  </r>
  <r>
    <n v="2016"/>
    <x v="3"/>
    <s v="PHO"/>
    <s v="Dragan Bender"/>
    <m/>
    <n v="187"/>
    <n v="3755"/>
    <n v="1014"/>
    <n v="720"/>
    <n v="237"/>
    <n v="0.39900000000000002"/>
    <n v="0.32300000000000001"/>
    <n v="0.65400000000000003"/>
    <n v="0.5"/>
    <n v="6.0000000000000001E-3"/>
    <n v="-3.9"/>
    <n v="-1.9"/>
    <n v="20.100000000000001"/>
    <n v="5.4"/>
    <n v="3.9"/>
    <n v="1.3"/>
    <x v="0"/>
    <x v="3"/>
    <x v="1"/>
    <n v="0.125"/>
    <m/>
  </r>
  <r>
    <n v="2016"/>
    <x v="4"/>
    <s v="MIN"/>
    <s v="Kris Dunn"/>
    <s v="Providence"/>
    <n v="231"/>
    <n v="5561"/>
    <n v="1889"/>
    <n v="766"/>
    <n v="950"/>
    <n v="0.42"/>
    <n v="0.30499999999999999"/>
    <n v="0.72699999999999998"/>
    <n v="3.7"/>
    <n v="3.2000000000000001E-2"/>
    <n v="-1.9"/>
    <n v="0.1"/>
    <n v="24.1"/>
    <n v="8.1999999999999993"/>
    <n v="3.3"/>
    <n v="4.0999999999999996"/>
    <x v="0"/>
    <x v="3"/>
    <x v="1"/>
    <n v="0.74"/>
    <m/>
  </r>
  <r>
    <n v="2016"/>
    <x v="5"/>
    <s v="NOP"/>
    <s v="Buddy Hield"/>
    <s v="Oklahoma"/>
    <n v="446"/>
    <n v="12906"/>
    <n v="7070"/>
    <n v="1895"/>
    <n v="1076"/>
    <n v="0.42899999999999999"/>
    <n v="0.39900000000000002"/>
    <n v="0.86299999999999999"/>
    <n v="16.5"/>
    <n v="6.0999999999999999E-2"/>
    <n v="0.2"/>
    <n v="7.2"/>
    <n v="28.9"/>
    <n v="15.9"/>
    <n v="4.2"/>
    <n v="2.4"/>
    <x v="1"/>
    <x v="2"/>
    <x v="0"/>
    <n v="2.75"/>
    <m/>
  </r>
  <r>
    <n v="2016"/>
    <x v="6"/>
    <s v="DEN"/>
    <s v="Jamal Murray"/>
    <s v="Kentucky"/>
    <n v="345"/>
    <n v="10384"/>
    <n v="5639"/>
    <n v="1258"/>
    <n v="1322"/>
    <n v="0.44600000000000001"/>
    <n v="0.36699999999999999"/>
    <n v="0.878"/>
    <n v="20.8"/>
    <n v="9.6000000000000002E-2"/>
    <n v="0.3"/>
    <n v="6"/>
    <n v="30.1"/>
    <n v="16.3"/>
    <n v="3.6"/>
    <n v="3.8"/>
    <x v="1"/>
    <x v="2"/>
    <x v="0"/>
    <n v="2.9714285714285715"/>
    <m/>
  </r>
  <r>
    <n v="2016"/>
    <x v="7"/>
    <s v="SAC"/>
    <s v="Marquese Chriss"/>
    <s v="Washington"/>
    <n v="281"/>
    <n v="5248"/>
    <n v="2167"/>
    <n v="1343"/>
    <n v="293"/>
    <n v="0.45600000000000002"/>
    <n v="0.28999999999999998"/>
    <n v="0.66600000000000004"/>
    <n v="6.2"/>
    <n v="5.6000000000000001E-2"/>
    <n v="-2.2999999999999998"/>
    <n v="-0.4"/>
    <n v="18.7"/>
    <n v="7.7"/>
    <n v="4.8"/>
    <n v="1"/>
    <x v="1"/>
    <x v="3"/>
    <x v="1"/>
    <n v="0.77500000000000002"/>
    <m/>
  </r>
  <r>
    <n v="2016"/>
    <x v="8"/>
    <s v="TOR"/>
    <s v="Jakob Poeltl"/>
    <s v="Utah"/>
    <n v="397"/>
    <n v="7853"/>
    <n v="2762"/>
    <n v="2339"/>
    <n v="550"/>
    <n v="0.627"/>
    <n v="0.66700000000000004"/>
    <n v="0.51400000000000001"/>
    <n v="27"/>
    <n v="0.16500000000000001"/>
    <n v="1"/>
    <n v="6"/>
    <n v="19.8"/>
    <n v="7"/>
    <n v="5.9"/>
    <n v="1.4"/>
    <x v="1"/>
    <x v="2"/>
    <x v="0"/>
    <n v="3"/>
    <m/>
  </r>
  <r>
    <n v="2016"/>
    <x v="9"/>
    <s v="MIL"/>
    <s v="Thon Maker"/>
    <m/>
    <n v="263"/>
    <n v="3624"/>
    <n v="1216"/>
    <n v="726"/>
    <n v="161"/>
    <n v="0.435"/>
    <n v="0.32700000000000001"/>
    <n v="0.68"/>
    <n v="6.6"/>
    <n v="8.6999999999999994E-2"/>
    <n v="-2.1"/>
    <n v="-0.1"/>
    <n v="13.8"/>
    <n v="4.5999999999999996"/>
    <n v="2.8"/>
    <n v="0.6"/>
    <x v="1"/>
    <x v="3"/>
    <x v="1"/>
    <n v="0.65999999999999992"/>
    <m/>
  </r>
  <r>
    <n v="2016"/>
    <x v="10"/>
    <s v="ORL"/>
    <s v="Domantas Sabonis"/>
    <s v="Gonzaga"/>
    <n v="404"/>
    <n v="11431"/>
    <n v="5747"/>
    <n v="3676"/>
    <n v="1428"/>
    <n v="0.53300000000000003"/>
    <n v="0.32"/>
    <n v="0.72699999999999998"/>
    <n v="34.1"/>
    <n v="0.14299999999999999"/>
    <n v="1.7"/>
    <n v="10.8"/>
    <n v="28.3"/>
    <n v="14.2"/>
    <n v="9.1"/>
    <n v="3.5"/>
    <x v="1"/>
    <x v="0"/>
    <x v="0"/>
    <n v="3.1"/>
    <m/>
  </r>
  <r>
    <n v="2016"/>
    <x v="11"/>
    <s v="UTA"/>
    <s v="Taurean Prince"/>
    <s v="Baylor"/>
    <n v="348"/>
    <n v="8480"/>
    <n v="3667"/>
    <n v="1378"/>
    <n v="619"/>
    <n v="0.41399999999999998"/>
    <n v="0.372"/>
    <n v="0.81899999999999995"/>
    <n v="7.4"/>
    <n v="4.2000000000000003E-2"/>
    <n v="-1.9"/>
    <n v="0.3"/>
    <n v="24.4"/>
    <n v="10.5"/>
    <n v="4"/>
    <n v="1.8"/>
    <x v="1"/>
    <x v="3"/>
    <x v="1"/>
    <n v="0.6166666666666667"/>
    <m/>
  </r>
  <r>
    <n v="2016"/>
    <x v="12"/>
    <s v="PHO"/>
    <s v="Georgios Papagiannis"/>
    <m/>
    <n v="39"/>
    <n v="477"/>
    <n v="160"/>
    <n v="123"/>
    <n v="29"/>
    <n v="0.51400000000000001"/>
    <n v="0"/>
    <n v="0.85699999999999998"/>
    <n v="0.4"/>
    <n v="4.3999999999999997E-2"/>
    <n v="-3.9"/>
    <n v="-0.2"/>
    <n v="12.2"/>
    <n v="4.0999999999999996"/>
    <n v="3.2"/>
    <n v="0.7"/>
    <x v="1"/>
    <x v="3"/>
    <x v="1"/>
    <n v="3.0769230769230771E-2"/>
    <m/>
  </r>
  <r>
    <n v="2016"/>
    <x v="13"/>
    <s v="CHI"/>
    <s v="Denzel Valentine"/>
    <s v="Michigan State"/>
    <n v="256"/>
    <n v="4817"/>
    <n v="1795"/>
    <n v="857"/>
    <n v="466"/>
    <n v="0.39400000000000002"/>
    <n v="0.36"/>
    <n v="0.78700000000000003"/>
    <n v="4.5"/>
    <n v="4.4999999999999998E-2"/>
    <n v="-1.8"/>
    <n v="0.2"/>
    <n v="18.8"/>
    <n v="7"/>
    <n v="3.3"/>
    <n v="1.8"/>
    <x v="1"/>
    <x v="3"/>
    <x v="1"/>
    <n v="0.32142857142857145"/>
    <m/>
  </r>
  <r>
    <n v="2016"/>
    <x v="14"/>
    <s v="DEN"/>
    <s v="Juancho Hernangómez"/>
    <m/>
    <n v="282"/>
    <n v="4362"/>
    <n v="1487"/>
    <n v="948"/>
    <n v="177"/>
    <n v="0.42399999999999999"/>
    <n v="0.34499999999999997"/>
    <n v="0.69299999999999995"/>
    <n v="7.1"/>
    <n v="7.9000000000000001E-2"/>
    <n v="-2"/>
    <n v="0"/>
    <n v="15.5"/>
    <n v="5.3"/>
    <n v="3.4"/>
    <n v="0.6"/>
    <x v="2"/>
    <x v="3"/>
    <x v="0"/>
    <n v="0.47333333333333333"/>
    <m/>
  </r>
  <r>
    <n v="2016"/>
    <x v="15"/>
    <s v="BOS"/>
    <s v="Guerschon Yabusele"/>
    <m/>
    <n v="74"/>
    <n v="486"/>
    <n v="173"/>
    <n v="105"/>
    <n v="31"/>
    <n v="0.442"/>
    <n v="0.32300000000000001"/>
    <n v="0.68200000000000005"/>
    <n v="1.1000000000000001"/>
    <n v="0.105"/>
    <n v="-1.9"/>
    <n v="0"/>
    <n v="6.6"/>
    <n v="2.2999999999999998"/>
    <n v="1.4"/>
    <n v="0.4"/>
    <x v="2"/>
    <x v="3"/>
    <x v="0"/>
    <n v="6.8750000000000006E-2"/>
    <m/>
  </r>
  <r>
    <n v="2016"/>
    <x v="16"/>
    <s v="MEM"/>
    <s v="Wade Baldwin"/>
    <s v="Vanderbilt"/>
    <n v="56"/>
    <n v="579"/>
    <n v="174"/>
    <n v="69"/>
    <n v="78"/>
    <n v="0.35499999999999998"/>
    <n v="0.25"/>
    <n v="0.77600000000000002"/>
    <n v="-0.3"/>
    <n v="-2.8000000000000001E-2"/>
    <n v="-5.3"/>
    <n v="-0.5"/>
    <n v="10.3"/>
    <n v="3.1"/>
    <n v="1.2"/>
    <n v="1.4"/>
    <x v="2"/>
    <x v="3"/>
    <x v="0"/>
    <n v="-1.7647058823529412E-2"/>
    <m/>
  </r>
  <r>
    <n v="2016"/>
    <x v="17"/>
    <s v="DET"/>
    <s v="Henry Ellenson"/>
    <s v="Marquette"/>
    <n v="83"/>
    <n v="787"/>
    <n v="342"/>
    <n v="206"/>
    <n v="49"/>
    <n v="0.371"/>
    <n v="0.33600000000000002"/>
    <n v="0.77300000000000002"/>
    <n v="0.4"/>
    <n v="2.3E-2"/>
    <n v="-3.7"/>
    <n v="-0.3"/>
    <n v="9.5"/>
    <n v="4.0999999999999996"/>
    <n v="2.5"/>
    <n v="0.6"/>
    <x v="2"/>
    <x v="3"/>
    <x v="0"/>
    <n v="2.2222222222222223E-2"/>
    <m/>
  </r>
  <r>
    <n v="2016"/>
    <x v="18"/>
    <s v="DEN"/>
    <s v="Malik Beasley"/>
    <s v="Florida State"/>
    <n v="316"/>
    <n v="6545"/>
    <n v="3239"/>
    <n v="774"/>
    <n v="388"/>
    <n v="0.42899999999999999"/>
    <n v="0.38"/>
    <n v="0.80800000000000005"/>
    <n v="9"/>
    <n v="6.6000000000000003E-2"/>
    <n v="-1.2"/>
    <n v="1.4"/>
    <n v="20.7"/>
    <n v="10.3"/>
    <n v="2.4"/>
    <n v="1.2"/>
    <x v="2"/>
    <x v="3"/>
    <x v="0"/>
    <n v="0.47368421052631576"/>
    <m/>
  </r>
  <r>
    <n v="2016"/>
    <x v="19"/>
    <s v="IND"/>
    <s v="Caris LeVert"/>
    <s v="Michigan"/>
    <n v="303"/>
    <n v="8318"/>
    <n v="4444"/>
    <n v="1158"/>
    <n v="1197"/>
    <n v="0.436"/>
    <n v="0.33300000000000002"/>
    <n v="0.73699999999999999"/>
    <n v="11.6"/>
    <n v="6.7000000000000004E-2"/>
    <n v="-0.4"/>
    <n v="3.4"/>
    <n v="27.5"/>
    <n v="14.7"/>
    <n v="3.8"/>
    <n v="4"/>
    <x v="2"/>
    <x v="2"/>
    <x v="0"/>
    <n v="0.57999999999999996"/>
    <m/>
  </r>
  <r>
    <n v="2016"/>
    <x v="20"/>
    <s v="ATL"/>
    <s v="DeAndre' Bembry"/>
    <s v="Saint Joseph's"/>
    <n v="288"/>
    <n v="5593"/>
    <n v="1744"/>
    <n v="939"/>
    <n v="527"/>
    <n v="0.47499999999999998"/>
    <n v="0.28299999999999997"/>
    <n v="0.61099999999999999"/>
    <n v="4.4000000000000004"/>
    <n v="3.7999999999999999E-2"/>
    <n v="-2.2999999999999998"/>
    <n v="-0.4"/>
    <n v="19.399999999999999"/>
    <n v="6.1"/>
    <n v="3.3"/>
    <n v="1.8"/>
    <x v="3"/>
    <x v="3"/>
    <x v="0"/>
    <n v="0.20952380952380953"/>
    <m/>
  </r>
  <r>
    <n v="2016"/>
    <x v="21"/>
    <s v="CHA"/>
    <s v="Malachi Richardson"/>
    <s v="Syracuse"/>
    <n v="70"/>
    <n v="625"/>
    <n v="198"/>
    <n v="70"/>
    <n v="24"/>
    <n v="0.35799999999999998"/>
    <n v="0.30099999999999999"/>
    <n v="0.78300000000000003"/>
    <n v="-0.1"/>
    <n v="-8.9999999999999993E-3"/>
    <n v="-6.1"/>
    <n v="-0.7"/>
    <n v="8.9"/>
    <n v="2.8"/>
    <n v="1"/>
    <n v="0.3"/>
    <x v="3"/>
    <x v="3"/>
    <x v="0"/>
    <n v="-4.5454545454545461E-3"/>
    <m/>
  </r>
  <r>
    <n v="2016"/>
    <x v="22"/>
    <s v="BOS"/>
    <s v="Ante Žižić"/>
    <m/>
    <n v="113"/>
    <n v="1517"/>
    <n v="674"/>
    <n v="446"/>
    <n v="64"/>
    <n v="0.58099999999999996"/>
    <m/>
    <n v="0.71099999999999997"/>
    <n v="3.5"/>
    <n v="0.11"/>
    <n v="-2.6"/>
    <n v="-0.2"/>
    <n v="13.4"/>
    <n v="6"/>
    <n v="3.9"/>
    <n v="0.6"/>
    <x v="3"/>
    <x v="3"/>
    <x v="0"/>
    <n v="0.15217391304347827"/>
    <m/>
  </r>
  <r>
    <n v="2016"/>
    <x v="23"/>
    <s v="PHI"/>
    <s v="Timothé Luwawu-Cabarrot"/>
    <m/>
    <n v="312"/>
    <n v="5021"/>
    <n v="1859"/>
    <n v="623"/>
    <n v="279"/>
    <n v="0.39"/>
    <n v="0.33400000000000002"/>
    <n v="0.82799999999999996"/>
    <n v="4.3"/>
    <n v="4.1000000000000002E-2"/>
    <n v="-4.0999999999999996"/>
    <n v="-2.6"/>
    <n v="16.100000000000001"/>
    <n v="6"/>
    <n v="2"/>
    <n v="0.9"/>
    <x v="3"/>
    <x v="3"/>
    <x v="0"/>
    <n v="0.17916666666666667"/>
    <m/>
  </r>
  <r>
    <n v="2016"/>
    <x v="24"/>
    <s v="LAC"/>
    <s v="Brice Johnson"/>
    <s v="UNC"/>
    <n v="21"/>
    <n v="107"/>
    <n v="47"/>
    <n v="34"/>
    <n v="3"/>
    <n v="0.44900000000000001"/>
    <n v="0"/>
    <n v="0.6"/>
    <n v="0.1"/>
    <n v="6.2E-2"/>
    <n v="-0.6"/>
    <n v="0"/>
    <n v="5.0999999999999996"/>
    <n v="2.2000000000000002"/>
    <n v="1.6"/>
    <n v="0.1"/>
    <x v="3"/>
    <x v="3"/>
    <x v="0"/>
    <n v="4.0000000000000001E-3"/>
    <m/>
  </r>
  <r>
    <n v="2016"/>
    <x v="25"/>
    <s v="PHI"/>
    <s v="Furkan Korkmaz"/>
    <m/>
    <n v="240"/>
    <n v="4603"/>
    <n v="1961"/>
    <n v="553"/>
    <n v="333"/>
    <n v="0.40699999999999997"/>
    <n v="0.35899999999999999"/>
    <n v="0.77300000000000002"/>
    <n v="7.3"/>
    <n v="7.5999999999999998E-2"/>
    <n v="-1.6"/>
    <n v="0.5"/>
    <n v="19.2"/>
    <n v="8.1999999999999993"/>
    <n v="2.2999999999999998"/>
    <n v="1.4"/>
    <x v="3"/>
    <x v="3"/>
    <x v="0"/>
    <n v="0.28076923076923077"/>
    <m/>
  </r>
  <r>
    <n v="2016"/>
    <x v="26"/>
    <s v="TOR"/>
    <s v="Pascal Siakam"/>
    <s v="New Mexico State"/>
    <n v="376"/>
    <n v="10866"/>
    <n v="5703"/>
    <n v="2323"/>
    <n v="1110"/>
    <n v="0.48899999999999999"/>
    <n v="0.32800000000000001"/>
    <n v="0.77400000000000002"/>
    <n v="30.2"/>
    <n v="0.13400000000000001"/>
    <n v="1.5"/>
    <n v="9.6999999999999993"/>
    <n v="28.9"/>
    <n v="15.2"/>
    <n v="6.2"/>
    <n v="3"/>
    <x v="3"/>
    <x v="0"/>
    <x v="0"/>
    <n v="1.1185185185185185"/>
    <m/>
  </r>
  <r>
    <n v="2016"/>
    <x v="27"/>
    <s v="PHO"/>
    <s v="Skal Labissière"/>
    <s v="Kentucky"/>
    <n v="148"/>
    <n v="2595"/>
    <n v="1069"/>
    <n v="662"/>
    <n v="152"/>
    <n v="0.49199999999999999"/>
    <n v="0.35299999999999998"/>
    <n v="0.748"/>
    <n v="4.4000000000000004"/>
    <n v="8.1000000000000003E-2"/>
    <n v="-2.2999999999999998"/>
    <n v="-0.2"/>
    <n v="17.5"/>
    <n v="7.2"/>
    <n v="4.5"/>
    <n v="1"/>
    <x v="3"/>
    <x v="3"/>
    <x v="0"/>
    <n v="0.15714285714285717"/>
    <m/>
  </r>
  <r>
    <n v="2016"/>
    <x v="28"/>
    <s v="SAS"/>
    <s v="Dejounte Murray"/>
    <s v="Washington"/>
    <n v="304"/>
    <n v="7681"/>
    <n v="3591"/>
    <n v="1789"/>
    <n v="1399"/>
    <n v="0.45400000000000001"/>
    <n v="0.32800000000000001"/>
    <n v="0.75800000000000001"/>
    <n v="14.8"/>
    <n v="9.1999999999999998E-2"/>
    <n v="1.5"/>
    <n v="6.7"/>
    <n v="25.3"/>
    <n v="11.8"/>
    <n v="5.9"/>
    <n v="4.5999999999999996"/>
    <x v="3"/>
    <x v="2"/>
    <x v="0"/>
    <n v="0.51034482758620692"/>
    <m/>
  </r>
  <r>
    <n v="2016"/>
    <x v="29"/>
    <s v="GSW"/>
    <s v="Damian Jones"/>
    <s v="Vanderbilt"/>
    <n v="180"/>
    <n v="2582"/>
    <n v="896"/>
    <n v="585"/>
    <n v="136"/>
    <n v="0.66100000000000003"/>
    <n v="0.28599999999999998"/>
    <n v="0.7"/>
    <n v="7.6"/>
    <n v="0.14099999999999999"/>
    <n v="-1.3"/>
    <n v="0.4"/>
    <n v="14.3"/>
    <n v="5"/>
    <n v="3.3"/>
    <n v="0.8"/>
    <x v="3"/>
    <x v="3"/>
    <x v="0"/>
    <n v="0.253333333333333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15EAAD-5F9B-4979-BBB4-1A3B82AFF119}" name="PivotTable6" cacheId="49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8:B69" firstHeaderRow="1" firstDataRow="1" firstDataCol="1"/>
  <pivotFields count="26">
    <pivotField compact="0" outline="0" showAll="0"/>
    <pivotField axis="axisRow" compact="0" outline="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 outline="0" showAll="0"/>
    <pivotField compact="0" outline="0" showAll="0"/>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Win Shares" fld="13" subtotal="average" baseField="0" baseItem="0" numFmtId="2"/>
  </dataFields>
  <formats count="2">
    <format dxfId="12">
      <pivotArea outline="0" collapsedLevelsAreSubtotals="1" fieldPosition="0"/>
    </format>
    <format dxfId="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256DE3-7001-4F19-B94C-3033592B369A}" name="PivotTable4" cacheId="49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3:D29" firstHeaderRow="1" firstDataRow="2" firstDataCol="1"/>
  <pivotFields count="26">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3"/>
        <item x="1"/>
        <item x="2"/>
        <item x="0"/>
        <item t="default"/>
      </items>
    </pivotField>
    <pivotField compact="0" outline="0" showAll="0"/>
    <pivotField axis="axisCol" dataField="1" compact="0" outline="0" showAll="0">
      <items count="3">
        <item x="0"/>
        <item x="1"/>
        <item t="default"/>
      </items>
    </pivotField>
    <pivotField compact="0" numFmtId="2" outline="0" showAll="0"/>
    <pivotField compact="0" outline="0" showAll="0"/>
  </pivotFields>
  <rowFields count="1">
    <field x="21"/>
  </rowFields>
  <rowItems count="5">
    <i>
      <x/>
    </i>
    <i>
      <x v="1"/>
    </i>
    <i>
      <x v="2"/>
    </i>
    <i>
      <x v="3"/>
    </i>
    <i t="grand">
      <x/>
    </i>
  </rowItems>
  <colFields count="1">
    <field x="23"/>
  </colFields>
  <colItems count="3">
    <i>
      <x/>
    </i>
    <i>
      <x v="1"/>
    </i>
    <i t="grand">
      <x/>
    </i>
  </colItems>
  <dataFields count="1">
    <dataField name="Count of Bust?" fld="2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B10A93-89F8-4E0A-8E05-381E5A1CBB04}" name="PivotTable3" cacheId="49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16:B21" firstHeaderRow="1" firstDataRow="1" firstDataCol="1"/>
  <pivotFields count="26">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3"/>
        <item x="1"/>
        <item x="2"/>
        <item x="0"/>
        <item t="default"/>
      </items>
    </pivotField>
    <pivotField compact="0" outline="0" showAll="0"/>
    <pivotField compact="0" outline="0" showAll="0"/>
    <pivotField compact="0" numFmtId="2" outline="0" showAll="0"/>
    <pivotField compact="0" outline="0" showAll="0"/>
  </pivotFields>
  <rowFields count="1">
    <field x="21"/>
  </rowFields>
  <rowItems count="5">
    <i>
      <x/>
    </i>
    <i>
      <x v="1"/>
    </i>
    <i>
      <x v="2"/>
    </i>
    <i>
      <x v="3"/>
    </i>
    <i t="grand">
      <x/>
    </i>
  </rowItems>
  <colItems count="1">
    <i/>
  </colItems>
  <dataFields count="1">
    <dataField name="Average BPM" fld="15" subtotal="average" baseField="0" baseItem="0" numFmtId="2"/>
  </dataFields>
  <formats count="2">
    <format dxfId="10">
      <pivotArea outline="0" collapsedLevelsAreSubtotals="1" fieldPosition="0"/>
    </format>
    <format dxfId="11">
      <pivotArea dataOnly="0" labelOnly="1" outline="0" axis="axisValues" fieldPosition="0"/>
    </format>
  </formats>
  <chartFormats count="8">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812F0C-C44B-4E4B-902B-536EF7E0C7FE}" name="PivotTable2" cacheId="49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9:B14" firstHeaderRow="1" firstDataRow="1" firstDataCol="1"/>
  <pivotFields count="26">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3"/>
        <item x="1"/>
        <item x="2"/>
        <item x="0"/>
        <item t="default"/>
      </items>
    </pivotField>
    <pivotField compact="0" outline="0" showAll="0"/>
    <pivotField compact="0" outline="0" showAll="0"/>
    <pivotField compact="0" numFmtId="2" outline="0" showAll="0"/>
    <pivotField compact="0" outline="0" showAll="0"/>
  </pivotFields>
  <rowFields count="1">
    <field x="21"/>
  </rowFields>
  <rowItems count="5">
    <i>
      <x/>
    </i>
    <i>
      <x v="1"/>
    </i>
    <i>
      <x v="2"/>
    </i>
    <i>
      <x v="3"/>
    </i>
    <i t="grand">
      <x/>
    </i>
  </rowItems>
  <colItems count="1">
    <i/>
  </colItems>
  <dataFields count="1">
    <dataField name="Average Games" fld="5" subtotal="average" baseField="0" baseItem="0" numFmtId="2"/>
  </dataFields>
  <formats count="2">
    <format dxfId="8">
      <pivotArea outline="0" collapsedLevelsAreSubtotals="1" fieldPosition="0"/>
    </format>
    <format dxfId="9">
      <pivotArea dataOnly="0" labelOnly="1" outline="0" axis="axisValues" fieldPosition="0"/>
    </format>
  </formats>
  <chartFormats count="8">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D632A4-6089-467C-9C70-138557501D3C}" name="PivotTable5" cacheId="49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31:B36" firstHeaderRow="1" firstDataRow="1" firstDataCol="1"/>
  <pivotFields count="26">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3"/>
        <item x="2"/>
        <item x="1"/>
        <item x="0"/>
        <item t="default"/>
      </items>
    </pivotField>
    <pivotField compact="0" outline="0" showAll="0"/>
    <pivotField compact="0" numFmtId="2" outline="0" showAll="0"/>
    <pivotField compact="0" outline="0" showAll="0"/>
  </pivotFields>
  <rowFields count="1">
    <field x="22"/>
  </rowFields>
  <rowItems count="5">
    <i>
      <x/>
    </i>
    <i>
      <x v="1"/>
    </i>
    <i>
      <x v="2"/>
    </i>
    <i>
      <x v="3"/>
    </i>
    <i t="grand">
      <x/>
    </i>
  </rowItems>
  <colItems count="1">
    <i/>
  </colItems>
  <dataFields count="1">
    <dataField name="Count of Player" fld="3" subtotal="count" baseField="0" baseItem="0"/>
  </dataFields>
  <chartFormats count="40">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2" count="1" selected="0">
            <x v="0"/>
          </reference>
        </references>
      </pivotArea>
    </chartFormat>
    <chartFormat chart="1" format="3">
      <pivotArea type="data" outline="0" fieldPosition="0">
        <references count="2">
          <reference field="4294967294" count="1" selected="0">
            <x v="0"/>
          </reference>
          <reference field="22" count="1" selected="0">
            <x v="1"/>
          </reference>
        </references>
      </pivotArea>
    </chartFormat>
    <chartFormat chart="1" format="4">
      <pivotArea type="data" outline="0" fieldPosition="0">
        <references count="2">
          <reference field="4294967294" count="1" selected="0">
            <x v="0"/>
          </reference>
          <reference field="22" count="1" selected="0">
            <x v="2"/>
          </reference>
        </references>
      </pivotArea>
    </chartFormat>
    <chartFormat chart="1" format="5">
      <pivotArea type="data" outline="0" fieldPosition="0">
        <references count="2">
          <reference field="4294967294" count="1" selected="0">
            <x v="0"/>
          </reference>
          <reference field="22"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2" count="1" selected="0">
            <x v="0"/>
          </reference>
        </references>
      </pivotArea>
    </chartFormat>
    <chartFormat chart="2" format="8">
      <pivotArea type="data" outline="0" fieldPosition="0">
        <references count="2">
          <reference field="4294967294" count="1" selected="0">
            <x v="0"/>
          </reference>
          <reference field="22" count="1" selected="0">
            <x v="1"/>
          </reference>
        </references>
      </pivotArea>
    </chartFormat>
    <chartFormat chart="2" format="9">
      <pivotArea type="data" outline="0" fieldPosition="0">
        <references count="2">
          <reference field="4294967294" count="1" selected="0">
            <x v="0"/>
          </reference>
          <reference field="22" count="1" selected="0">
            <x v="2"/>
          </reference>
        </references>
      </pivotArea>
    </chartFormat>
    <chartFormat chart="2" format="10">
      <pivotArea type="data" outline="0" fieldPosition="0">
        <references count="2">
          <reference field="4294967294" count="1" selected="0">
            <x v="0"/>
          </reference>
          <reference field="22" count="1" selected="0">
            <x v="3"/>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22" count="1" selected="0">
            <x v="0"/>
          </reference>
        </references>
      </pivotArea>
    </chartFormat>
    <chartFormat chart="3" format="13">
      <pivotArea type="data" outline="0" fieldPosition="0">
        <references count="2">
          <reference field="4294967294" count="1" selected="0">
            <x v="0"/>
          </reference>
          <reference field="22" count="1" selected="0">
            <x v="1"/>
          </reference>
        </references>
      </pivotArea>
    </chartFormat>
    <chartFormat chart="3" format="14">
      <pivotArea type="data" outline="0" fieldPosition="0">
        <references count="2">
          <reference field="4294967294" count="1" selected="0">
            <x v="0"/>
          </reference>
          <reference field="22" count="1" selected="0">
            <x v="2"/>
          </reference>
        </references>
      </pivotArea>
    </chartFormat>
    <chartFormat chart="3" format="15">
      <pivotArea type="data" outline="0" fieldPosition="0">
        <references count="2">
          <reference field="4294967294" count="1" selected="0">
            <x v="0"/>
          </reference>
          <reference field="22" count="1" selected="0">
            <x v="3"/>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22" count="1" selected="0">
            <x v="0"/>
          </reference>
        </references>
      </pivotArea>
    </chartFormat>
    <chartFormat chart="4" format="18">
      <pivotArea type="data" outline="0" fieldPosition="0">
        <references count="2">
          <reference field="4294967294" count="1" selected="0">
            <x v="0"/>
          </reference>
          <reference field="22" count="1" selected="0">
            <x v="1"/>
          </reference>
        </references>
      </pivotArea>
    </chartFormat>
    <chartFormat chart="4" format="19">
      <pivotArea type="data" outline="0" fieldPosition="0">
        <references count="2">
          <reference field="4294967294" count="1" selected="0">
            <x v="0"/>
          </reference>
          <reference field="22" count="1" selected="0">
            <x v="2"/>
          </reference>
        </references>
      </pivotArea>
    </chartFormat>
    <chartFormat chart="4" format="20">
      <pivotArea type="data" outline="0" fieldPosition="0">
        <references count="2">
          <reference field="4294967294" count="1" selected="0">
            <x v="0"/>
          </reference>
          <reference field="22" count="1" selected="0">
            <x v="3"/>
          </reference>
        </references>
      </pivotArea>
    </chartFormat>
    <chartFormat chart="5" format="21" series="1">
      <pivotArea type="data" outline="0" fieldPosition="0">
        <references count="1">
          <reference field="4294967294" count="1" selected="0">
            <x v="0"/>
          </reference>
        </references>
      </pivotArea>
    </chartFormat>
    <chartFormat chart="5" format="22">
      <pivotArea type="data" outline="0" fieldPosition="0">
        <references count="2">
          <reference field="4294967294" count="1" selected="0">
            <x v="0"/>
          </reference>
          <reference field="22" count="1" selected="0">
            <x v="0"/>
          </reference>
        </references>
      </pivotArea>
    </chartFormat>
    <chartFormat chart="5" format="23">
      <pivotArea type="data" outline="0" fieldPosition="0">
        <references count="2">
          <reference field="4294967294" count="1" selected="0">
            <x v="0"/>
          </reference>
          <reference field="22" count="1" selected="0">
            <x v="1"/>
          </reference>
        </references>
      </pivotArea>
    </chartFormat>
    <chartFormat chart="5" format="24">
      <pivotArea type="data" outline="0" fieldPosition="0">
        <references count="2">
          <reference field="4294967294" count="1" selected="0">
            <x v="0"/>
          </reference>
          <reference field="22" count="1" selected="0">
            <x v="2"/>
          </reference>
        </references>
      </pivotArea>
    </chartFormat>
    <chartFormat chart="5" format="25">
      <pivotArea type="data" outline="0" fieldPosition="0">
        <references count="2">
          <reference field="4294967294" count="1" selected="0">
            <x v="0"/>
          </reference>
          <reference field="22" count="1" selected="0">
            <x v="3"/>
          </reference>
        </references>
      </pivotArea>
    </chartFormat>
    <chartFormat chart="6" format="26" series="1">
      <pivotArea type="data" outline="0" fieldPosition="0">
        <references count="1">
          <reference field="4294967294" count="1" selected="0">
            <x v="0"/>
          </reference>
        </references>
      </pivotArea>
    </chartFormat>
    <chartFormat chart="6" format="27">
      <pivotArea type="data" outline="0" fieldPosition="0">
        <references count="2">
          <reference field="4294967294" count="1" selected="0">
            <x v="0"/>
          </reference>
          <reference field="22" count="1" selected="0">
            <x v="0"/>
          </reference>
        </references>
      </pivotArea>
    </chartFormat>
    <chartFormat chart="6" format="28">
      <pivotArea type="data" outline="0" fieldPosition="0">
        <references count="2">
          <reference field="4294967294" count="1" selected="0">
            <x v="0"/>
          </reference>
          <reference field="22" count="1" selected="0">
            <x v="1"/>
          </reference>
        </references>
      </pivotArea>
    </chartFormat>
    <chartFormat chart="6" format="29">
      <pivotArea type="data" outline="0" fieldPosition="0">
        <references count="2">
          <reference field="4294967294" count="1" selected="0">
            <x v="0"/>
          </reference>
          <reference field="22" count="1" selected="0">
            <x v="2"/>
          </reference>
        </references>
      </pivotArea>
    </chartFormat>
    <chartFormat chart="6" format="30">
      <pivotArea type="data" outline="0" fieldPosition="0">
        <references count="2">
          <reference field="4294967294" count="1" selected="0">
            <x v="0"/>
          </reference>
          <reference field="22" count="1" selected="0">
            <x v="3"/>
          </reference>
        </references>
      </pivotArea>
    </chartFormat>
    <chartFormat chart="7" format="31" series="1">
      <pivotArea type="data" outline="0" fieldPosition="0">
        <references count="1">
          <reference field="4294967294" count="1" selected="0">
            <x v="0"/>
          </reference>
        </references>
      </pivotArea>
    </chartFormat>
    <chartFormat chart="7" format="32">
      <pivotArea type="data" outline="0" fieldPosition="0">
        <references count="2">
          <reference field="4294967294" count="1" selected="0">
            <x v="0"/>
          </reference>
          <reference field="22" count="1" selected="0">
            <x v="0"/>
          </reference>
        </references>
      </pivotArea>
    </chartFormat>
    <chartFormat chart="7" format="33">
      <pivotArea type="data" outline="0" fieldPosition="0">
        <references count="2">
          <reference field="4294967294" count="1" selected="0">
            <x v="0"/>
          </reference>
          <reference field="22" count="1" selected="0">
            <x v="1"/>
          </reference>
        </references>
      </pivotArea>
    </chartFormat>
    <chartFormat chart="7" format="34">
      <pivotArea type="data" outline="0" fieldPosition="0">
        <references count="2">
          <reference field="4294967294" count="1" selected="0">
            <x v="0"/>
          </reference>
          <reference field="22" count="1" selected="0">
            <x v="2"/>
          </reference>
        </references>
      </pivotArea>
    </chartFormat>
    <chartFormat chart="7" format="35">
      <pivotArea type="data" outline="0" fieldPosition="0">
        <references count="2">
          <reference field="4294967294" count="1" selected="0">
            <x v="0"/>
          </reference>
          <reference field="22" count="1" selected="0">
            <x v="3"/>
          </reference>
        </references>
      </pivotArea>
    </chartFormat>
    <chartFormat chart="8" format="36" series="1">
      <pivotArea type="data" outline="0" fieldPosition="0">
        <references count="1">
          <reference field="4294967294" count="1" selected="0">
            <x v="0"/>
          </reference>
        </references>
      </pivotArea>
    </chartFormat>
    <chartFormat chart="8" format="37">
      <pivotArea type="data" outline="0" fieldPosition="0">
        <references count="2">
          <reference field="4294967294" count="1" selected="0">
            <x v="0"/>
          </reference>
          <reference field="22" count="1" selected="0">
            <x v="0"/>
          </reference>
        </references>
      </pivotArea>
    </chartFormat>
    <chartFormat chart="8" format="38">
      <pivotArea type="data" outline="0" fieldPosition="0">
        <references count="2">
          <reference field="4294967294" count="1" selected="0">
            <x v="0"/>
          </reference>
          <reference field="22" count="1" selected="0">
            <x v="1"/>
          </reference>
        </references>
      </pivotArea>
    </chartFormat>
    <chartFormat chart="8" format="39">
      <pivotArea type="data" outline="0" fieldPosition="0">
        <references count="2">
          <reference field="4294967294" count="1" selected="0">
            <x v="0"/>
          </reference>
          <reference field="22" count="1" selected="0">
            <x v="2"/>
          </reference>
        </references>
      </pivotArea>
    </chartFormat>
    <chartFormat chart="8" format="40">
      <pivotArea type="data" outline="0" fieldPosition="0">
        <references count="2">
          <reference field="4294967294" count="1" selected="0">
            <x v="0"/>
          </reference>
          <reference field="2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17D13C-A0AE-4044-B933-5B6A29BD349B}" name="PivotTable1" cacheId="49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A2:B7" firstHeaderRow="1" firstDataRow="1" firstDataCol="1"/>
  <pivotFields count="26">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3"/>
        <item x="1"/>
        <item x="2"/>
        <item x="0"/>
        <item t="default"/>
      </items>
    </pivotField>
    <pivotField compact="0" outline="0" showAll="0"/>
    <pivotField compact="0" outline="0" showAll="0"/>
    <pivotField compact="0" numFmtId="2" outline="0" showAll="0"/>
    <pivotField compact="0" outline="0" showAll="0"/>
  </pivotFields>
  <rowFields count="1">
    <field x="21"/>
  </rowFields>
  <rowItems count="5">
    <i>
      <x/>
    </i>
    <i>
      <x v="1"/>
    </i>
    <i>
      <x v="2"/>
    </i>
    <i>
      <x v="3"/>
    </i>
    <i t="grand">
      <x/>
    </i>
  </rowItems>
  <colItems count="1">
    <i/>
  </colItems>
  <dataFields count="1">
    <dataField name="Average Win Shares" fld="13" subtotal="average" baseField="0" baseItem="0" numFmtId="2"/>
  </dataFields>
  <formats count="2">
    <format dxfId="6">
      <pivotArea outline="0" fieldPosition="0">
        <references count="1">
          <reference field="21" count="1" selected="0">
            <x v="0"/>
          </reference>
        </references>
      </pivotArea>
    </format>
    <format dxfId="7">
      <pivotArea outline="0" collapsedLevelsAreSubtotals="1" fieldPosition="0"/>
    </format>
  </formats>
  <chartFormats count="8">
    <chartFormat chart="1" format="1"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757FCB-DDFA-446F-98DD-3235F3965F8C}" name="DraftData" displayName="DraftData" ref="A1:Z361" totalsRowShown="0" headerRowDxfId="5">
  <autoFilter ref="A1:Z361" xr:uid="{4B757FCB-DDFA-446F-98DD-3235F3965F8C}"/>
  <tableColumns count="26">
    <tableColumn id="1" xr3:uid="{730C6AB1-4841-4157-AAF0-079D54DBEDDF}" name="Year"/>
    <tableColumn id="2" xr3:uid="{3BF59D60-53AB-4935-BD18-7146B2614D80}" name="Pick"/>
    <tableColumn id="3" xr3:uid="{DE7B6763-8896-4BA3-B65F-04BE3E698943}" name="Team"/>
    <tableColumn id="4" xr3:uid="{A1A3177B-6CF8-4064-A4C7-45BA9BFE0261}" name="Player"/>
    <tableColumn id="5" xr3:uid="{E00AD5AC-DF7C-4D65-AD8F-19FDE5B5F7F8}" name="College"/>
    <tableColumn id="6" xr3:uid="{2E52D232-4F2C-4100-B1A7-946C42EE61A7}" name="Games"/>
    <tableColumn id="7" xr3:uid="{32913B55-D10F-49AF-AFBB-C2621F30E01F}" name="Minutes"/>
    <tableColumn id="8" xr3:uid="{AF9F36BF-7A17-4BB4-94A4-2D1BC722430E}" name="Points"/>
    <tableColumn id="9" xr3:uid="{2F8BC72A-8F76-4D8E-AD90-0CCCA7F4CD66}" name="Rebounds"/>
    <tableColumn id="10" xr3:uid="{39DAD345-0E1D-4C1B-BFA5-EE2D299828D6}" name="Assists"/>
    <tableColumn id="11" xr3:uid="{4CB393BE-520F-424C-82DC-8CF1D218B178}" name="FG%"/>
    <tableColumn id="12" xr3:uid="{2D79F8AB-E8D7-4165-B019-D33E08C6D3F8}" name="3P%"/>
    <tableColumn id="13" xr3:uid="{36E0FF9E-AD74-47CA-907E-ADB86CC49D98}" name="FT%"/>
    <tableColumn id="14" xr3:uid="{D90A1D16-FAFB-4BD2-8CC8-038CA9A26828}" name="Win Shares"/>
    <tableColumn id="15" xr3:uid="{303174E3-2CAD-45CE-AF23-69617DB0DD53}" name="WS/48"/>
    <tableColumn id="16" xr3:uid="{485544FB-422C-4A37-ABB0-2B7B9F66B572}" name="BPM"/>
    <tableColumn id="17" xr3:uid="{665874DB-797C-4E38-A478-0B7755E512B9}" name="VORP"/>
    <tableColumn id="18" xr3:uid="{39F1CF88-3DD3-4E7F-9F48-0969E7B44450}" name="MPG"/>
    <tableColumn id="19" xr3:uid="{978E0E35-081E-4058-8D34-91CB82D302E5}" name="PPG"/>
    <tableColumn id="20" xr3:uid="{873E930A-26F9-4184-999E-59D6D4E99237}" name="RPG"/>
    <tableColumn id="21" xr3:uid="{A44D3CB5-7E69-4349-A4BF-575EE061087B}" name="APG"/>
    <tableColumn id="23" xr3:uid="{2E45ADC4-269D-452F-8A1C-E825EDF3BD5F}" name="Pick Range" dataDxfId="4">
      <calculatedColumnFormula>IF(DraftData[[#This Row],[Pick]]&lt;=5,"Top 5",
IF(DraftData[[#This Row],[Pick]]&lt;=14,"Lottery",
IF(DraftData[[#This Row],[Pick]]&lt;=20,"Mid First","Late First")))</calculatedColumnFormula>
    </tableColumn>
    <tableColumn id="24" xr3:uid="{68D05B2E-40B8-41F0-9043-F042AA35D078}" name="Career Tier" dataDxfId="3">
      <calculatedColumnFormula>IF(DraftData[[#This Row],[Win Shares]]&gt;=80,"Star",
IF(DraftData[[#This Row],[Win Shares]]&gt;=30,"Starter",
IF(DraftData[[#This Row],[Win Shares]]&gt;=10,"Rotation","Minimal")))</calculatedColumnFormula>
    </tableColumn>
    <tableColumn id="25" xr3:uid="{2464EF2B-291A-48BD-855C-4C6F8FFAA4E2}" name="Bust?" dataDxfId="2">
      <calculatedColumnFormula>IF(AND(DraftData[[#This Row],[Pick]]&lt;=14,DraftData[[#This Row],[Win Shares]]&lt;10),"Yes","No")</calculatedColumnFormula>
    </tableColumn>
    <tableColumn id="26" xr3:uid="{8AAD85EE-18B1-4BEC-A5E9-1BA0080A00AC}" name="Pick Efficiency" dataDxfId="1">
      <calculatedColumnFormula>DraftData[[#This Row],[Win Shares]]/DraftData[[#This Row],[Pick]]</calculatedColumnFormula>
    </tableColumn>
    <tableColumn id="22" xr3:uid="{FC0EEB5C-B071-4998-AC38-3A1F7B4AE123}" name="Value Above Expected" dataDxfId="0">
      <calculatedColumnFormula>DraftData[[#This Row],[Win Shares]]-_xlfn.XLOOKUP(DraftData[[#This Row],[Pick]],'Lookup Tables'!$A$2:$A$31,'Lookup Tables'!$B$2:$B$31)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A893C-4055-45E9-B42C-8EA12997EBBA}">
  <dimension ref="A1:L42"/>
  <sheetViews>
    <sheetView showGridLines="0" tabSelected="1" workbookViewId="0">
      <selection activeCell="Q71" sqref="Q71"/>
    </sheetView>
  </sheetViews>
  <sheetFormatPr defaultRowHeight="15"/>
  <cols>
    <col min="3" max="3" width="9.140625" customWidth="1"/>
    <col min="11" max="11" width="29.7109375" customWidth="1"/>
    <col min="12" max="12" width="9.85546875" customWidth="1"/>
  </cols>
  <sheetData>
    <row r="1" spans="1:12" ht="26.25" customHeight="1">
      <c r="A1" s="8" t="s">
        <v>0</v>
      </c>
      <c r="F1" s="4"/>
    </row>
    <row r="2" spans="1:12" ht="15" customHeight="1"/>
    <row r="4" spans="1:12" ht="15" customHeight="1">
      <c r="A4" s="11" t="s">
        <v>1</v>
      </c>
      <c r="B4" s="11"/>
      <c r="D4" s="11" t="s">
        <v>2</v>
      </c>
      <c r="E4" s="14"/>
      <c r="G4" s="12" t="s">
        <v>3</v>
      </c>
      <c r="H4" s="15"/>
      <c r="J4" s="11" t="s">
        <v>4</v>
      </c>
      <c r="K4" s="16"/>
    </row>
    <row r="5" spans="1:12">
      <c r="A5" s="11"/>
      <c r="B5" s="11"/>
      <c r="D5" s="14"/>
      <c r="E5" s="14"/>
      <c r="G5" s="15"/>
      <c r="H5" s="15"/>
      <c r="J5" s="16"/>
      <c r="K5" s="16"/>
    </row>
    <row r="6" spans="1:12" ht="33" customHeight="1">
      <c r="A6" s="11"/>
      <c r="B6" s="11"/>
      <c r="D6" s="14"/>
      <c r="E6" s="14"/>
      <c r="G6" s="15"/>
      <c r="H6" s="15"/>
      <c r="J6" s="16"/>
      <c r="K6" s="16"/>
    </row>
    <row r="7" spans="1:12" ht="6" customHeight="1">
      <c r="A7" s="5"/>
      <c r="B7" s="5"/>
    </row>
    <row r="8" spans="1:12">
      <c r="A8" s="10"/>
      <c r="B8" s="11"/>
      <c r="D8" s="11"/>
      <c r="E8" s="11"/>
      <c r="G8" s="12"/>
      <c r="H8" s="13"/>
    </row>
    <row r="9" spans="1:12">
      <c r="A9" s="11"/>
      <c r="B9" s="11"/>
      <c r="D9" s="11"/>
      <c r="E9" s="11"/>
      <c r="G9" s="13"/>
      <c r="H9" s="13"/>
    </row>
    <row r="10" spans="1:12">
      <c r="A10" s="11"/>
      <c r="B10" s="11"/>
      <c r="C10" t="s">
        <v>5</v>
      </c>
      <c r="D10" s="11"/>
      <c r="E10" s="11"/>
      <c r="G10" s="13"/>
      <c r="H10" s="13"/>
      <c r="L10" s="7" t="s">
        <v>6</v>
      </c>
    </row>
    <row r="26" spans="3:12">
      <c r="C26" s="7" t="s">
        <v>7</v>
      </c>
      <c r="L26" s="7" t="s">
        <v>8</v>
      </c>
    </row>
    <row r="42" spans="3:3">
      <c r="C42" t="s">
        <v>9</v>
      </c>
    </row>
  </sheetData>
  <mergeCells count="7">
    <mergeCell ref="J4:K6"/>
    <mergeCell ref="A8:B10"/>
    <mergeCell ref="D8:E10"/>
    <mergeCell ref="G8:H10"/>
    <mergeCell ref="A4:B6"/>
    <mergeCell ref="D4:E6"/>
    <mergeCell ref="G4:H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61"/>
  <sheetViews>
    <sheetView workbookViewId="0">
      <selection activeCell="A196" sqref="A196:XFD196"/>
    </sheetView>
  </sheetViews>
  <sheetFormatPr defaultRowHeight="15"/>
  <cols>
    <col min="4" max="4" width="24.85546875" bestFit="1" customWidth="1"/>
    <col min="5" max="5" width="25" bestFit="1" customWidth="1"/>
    <col min="6" max="6" width="9.5703125" bestFit="1" customWidth="1"/>
    <col min="7" max="7" width="10.85546875" bestFit="1" customWidth="1"/>
    <col min="9" max="9" width="12.28515625" bestFit="1" customWidth="1"/>
    <col min="10" max="10" width="9.42578125" bestFit="1" customWidth="1"/>
    <col min="14" max="14" width="13.42578125" bestFit="1" customWidth="1"/>
    <col min="15" max="15" width="9.42578125" bestFit="1" customWidth="1"/>
    <col min="22" max="22" width="13" bestFit="1" customWidth="1"/>
    <col min="23" max="23" width="13.140625" bestFit="1" customWidth="1"/>
    <col min="24" max="24" width="11.42578125" bestFit="1" customWidth="1"/>
    <col min="25" max="25" width="16.140625" bestFit="1" customWidth="1"/>
    <col min="26" max="26" width="37.140625" style="2" customWidth="1"/>
  </cols>
  <sheetData>
    <row r="1" spans="1:26">
      <c r="A1" s="1" t="s">
        <v>10</v>
      </c>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c r="Q1" s="1" t="s">
        <v>26</v>
      </c>
      <c r="R1" s="1" t="s">
        <v>27</v>
      </c>
      <c r="S1" s="1" t="s">
        <v>28</v>
      </c>
      <c r="T1" s="1" t="s">
        <v>29</v>
      </c>
      <c r="U1" s="1" t="s">
        <v>30</v>
      </c>
      <c r="V1" s="1" t="s">
        <v>31</v>
      </c>
      <c r="W1" s="1" t="s">
        <v>32</v>
      </c>
      <c r="X1" s="1" t="s">
        <v>33</v>
      </c>
      <c r="Y1" s="1" t="s">
        <v>34</v>
      </c>
      <c r="Z1" s="6" t="s">
        <v>35</v>
      </c>
    </row>
    <row r="2" spans="1:26">
      <c r="A2">
        <v>2005</v>
      </c>
      <c r="B2">
        <v>1</v>
      </c>
      <c r="C2" t="s">
        <v>36</v>
      </c>
      <c r="D2" t="s">
        <v>37</v>
      </c>
      <c r="E2" t="s">
        <v>38</v>
      </c>
      <c r="F2">
        <v>706</v>
      </c>
      <c r="G2">
        <v>19862</v>
      </c>
      <c r="H2">
        <v>6808</v>
      </c>
      <c r="I2">
        <v>6112</v>
      </c>
      <c r="J2">
        <v>1546</v>
      </c>
      <c r="K2">
        <v>0.53500000000000003</v>
      </c>
      <c r="L2">
        <v>0.12</v>
      </c>
      <c r="M2">
        <v>0.55700000000000005</v>
      </c>
      <c r="N2">
        <v>50.6</v>
      </c>
      <c r="O2">
        <v>0.122</v>
      </c>
      <c r="P2">
        <v>1.2</v>
      </c>
      <c r="Q2">
        <v>16</v>
      </c>
      <c r="R2">
        <v>28.1</v>
      </c>
      <c r="S2">
        <v>9.6</v>
      </c>
      <c r="T2">
        <v>8.6999999999999993</v>
      </c>
      <c r="U2">
        <v>2.2000000000000002</v>
      </c>
      <c r="V2" t="str">
        <f>IF(DraftData[[#This Row],[Pick]]&lt;=5,"Top 5",
IF(DraftData[[#This Row],[Pick]]&lt;=14,"Lottery",
IF(DraftData[[#This Row],[Pick]]&lt;=20,"Mid First","Late First")))</f>
        <v>Top 5</v>
      </c>
      <c r="W2" t="str">
        <f>IF(DraftData[[#This Row],[Win Shares]]&gt;=80,"Star",
IF(DraftData[[#This Row],[Win Shares]]&gt;=30,"Starter",
IF(DraftData[[#This Row],[Win Shares]]&gt;=10,"Rotation","Minimal")))</f>
        <v>Starter</v>
      </c>
      <c r="X2" t="str">
        <f>IF(AND(DraftData[[#This Row],[Pick]]&lt;=14,DraftData[[#This Row],[Win Shares]]&lt;10),"Yes","No")</f>
        <v>No</v>
      </c>
      <c r="Y2" s="2">
        <f>DraftData[[#This Row],[Win Shares]]/DraftData[[#This Row],[Pick]]</f>
        <v>50.6</v>
      </c>
      <c r="Z2" s="2">
        <f>DraftData[[#This Row],[Win Shares]]-_xlfn.XLOOKUP(DraftData[[#This Row],[Pick]],'Lookup Tables'!$A$2:$A$31,'Lookup Tables'!$B$2:$B$31)</f>
        <v>7.0166666666666657</v>
      </c>
    </row>
    <row r="3" spans="1:26">
      <c r="A3">
        <v>2005</v>
      </c>
      <c r="B3">
        <v>2</v>
      </c>
      <c r="C3" t="s">
        <v>39</v>
      </c>
      <c r="D3" t="s">
        <v>40</v>
      </c>
      <c r="E3" t="s">
        <v>41</v>
      </c>
      <c r="F3">
        <v>1072</v>
      </c>
      <c r="G3">
        <v>30159</v>
      </c>
      <c r="H3">
        <v>10965</v>
      </c>
      <c r="I3">
        <v>5546</v>
      </c>
      <c r="J3">
        <v>1373</v>
      </c>
      <c r="K3">
        <v>0.443</v>
      </c>
      <c r="L3">
        <v>0.36099999999999999</v>
      </c>
      <c r="M3">
        <v>0.80800000000000005</v>
      </c>
      <c r="N3">
        <v>65.099999999999994</v>
      </c>
      <c r="O3">
        <v>0.104</v>
      </c>
      <c r="P3">
        <v>-0.4</v>
      </c>
      <c r="Q3">
        <v>12.3</v>
      </c>
      <c r="R3">
        <v>28.1</v>
      </c>
      <c r="S3">
        <v>10.199999999999999</v>
      </c>
      <c r="T3">
        <v>5.2</v>
      </c>
      <c r="U3">
        <v>1.3</v>
      </c>
      <c r="V3" t="str">
        <f>IF(DraftData[[#This Row],[Pick]]&lt;=5,"Top 5",
IF(DraftData[[#This Row],[Pick]]&lt;=14,"Lottery",
IF(DraftData[[#This Row],[Pick]]&lt;=20,"Mid First","Late First")))</f>
        <v>Top 5</v>
      </c>
      <c r="W3" t="str">
        <f>IF(DraftData[[#This Row],[Win Shares]]&gt;=80,"Star",
IF(DraftData[[#This Row],[Win Shares]]&gt;=30,"Starter",
IF(DraftData[[#This Row],[Win Shares]]&gt;=10,"Rotation","Minimal")))</f>
        <v>Starter</v>
      </c>
      <c r="X3" t="str">
        <f>IF(AND(DraftData[[#This Row],[Pick]]&lt;=14,DraftData[[#This Row],[Win Shares]]&lt;10),"Yes","No")</f>
        <v>No</v>
      </c>
      <c r="Y3" s="2">
        <f>DraftData[[#This Row],[Win Shares]]/DraftData[[#This Row],[Pick]]</f>
        <v>32.549999999999997</v>
      </c>
      <c r="Z3" s="2">
        <f>DraftData[[#This Row],[Win Shares]]-_xlfn.XLOOKUP(DraftData[[#This Row],[Pick]],'Lookup Tables'!$A$2:$A$31,'Lookup Tables'!$B$2:$B$31)</f>
        <v>25.30833333333333</v>
      </c>
    </row>
    <row r="4" spans="1:26">
      <c r="A4">
        <v>2005</v>
      </c>
      <c r="B4">
        <v>3</v>
      </c>
      <c r="C4" t="s">
        <v>42</v>
      </c>
      <c r="D4" t="s">
        <v>43</v>
      </c>
      <c r="E4" t="s">
        <v>44</v>
      </c>
      <c r="F4">
        <v>845</v>
      </c>
      <c r="G4">
        <v>28865</v>
      </c>
      <c r="H4">
        <v>13804</v>
      </c>
      <c r="I4">
        <v>2619</v>
      </c>
      <c r="J4">
        <v>6819</v>
      </c>
      <c r="K4">
        <v>0.44500000000000001</v>
      </c>
      <c r="L4">
        <v>0.35699999999999998</v>
      </c>
      <c r="M4">
        <v>0.82199999999999995</v>
      </c>
      <c r="N4">
        <v>77.3</v>
      </c>
      <c r="O4">
        <v>0.129</v>
      </c>
      <c r="P4">
        <v>1.9</v>
      </c>
      <c r="Q4">
        <v>28.3</v>
      </c>
      <c r="R4">
        <v>34.200000000000003</v>
      </c>
      <c r="S4">
        <v>16.3</v>
      </c>
      <c r="T4">
        <v>3.1</v>
      </c>
      <c r="U4">
        <v>8.1</v>
      </c>
      <c r="V4" t="str">
        <f>IF(DraftData[[#This Row],[Pick]]&lt;=5,"Top 5",
IF(DraftData[[#This Row],[Pick]]&lt;=14,"Lottery",
IF(DraftData[[#This Row],[Pick]]&lt;=20,"Mid First","Late First")))</f>
        <v>Top 5</v>
      </c>
      <c r="W4" t="str">
        <f>IF(DraftData[[#This Row],[Win Shares]]&gt;=80,"Star",
IF(DraftData[[#This Row],[Win Shares]]&gt;=30,"Starter",
IF(DraftData[[#This Row],[Win Shares]]&gt;=10,"Rotation","Minimal")))</f>
        <v>Starter</v>
      </c>
      <c r="X4" t="str">
        <f>IF(AND(DraftData[[#This Row],[Pick]]&lt;=14,DraftData[[#This Row],[Win Shares]]&lt;10),"Yes","No")</f>
        <v>No</v>
      </c>
      <c r="Y4" s="2">
        <f>DraftData[[#This Row],[Win Shares]]/DraftData[[#This Row],[Pick]]</f>
        <v>25.766666666666666</v>
      </c>
      <c r="Z4" s="2">
        <f>DraftData[[#This Row],[Win Shares]]-_xlfn.XLOOKUP(DraftData[[#This Row],[Pick]],'Lookup Tables'!$A$2:$A$31,'Lookup Tables'!$B$2:$B$31)</f>
        <v>26.533333333333324</v>
      </c>
    </row>
    <row r="5" spans="1:26">
      <c r="A5">
        <v>2005</v>
      </c>
      <c r="B5">
        <v>4</v>
      </c>
      <c r="C5" t="s">
        <v>45</v>
      </c>
      <c r="D5" t="s">
        <v>46</v>
      </c>
      <c r="E5" t="s">
        <v>47</v>
      </c>
      <c r="F5">
        <v>1148</v>
      </c>
      <c r="G5">
        <v>39673</v>
      </c>
      <c r="H5">
        <v>20844</v>
      </c>
      <c r="I5">
        <v>5182</v>
      </c>
      <c r="J5">
        <v>10894</v>
      </c>
      <c r="K5">
        <v>0.47299999999999998</v>
      </c>
      <c r="L5">
        <v>0.37</v>
      </c>
      <c r="M5">
        <v>0.872</v>
      </c>
      <c r="N5">
        <v>198.2</v>
      </c>
      <c r="O5">
        <v>0.24</v>
      </c>
      <c r="P5">
        <v>7.3</v>
      </c>
      <c r="Q5">
        <v>93.2</v>
      </c>
      <c r="R5">
        <v>34.6</v>
      </c>
      <c r="S5">
        <v>18.2</v>
      </c>
      <c r="T5">
        <v>4.5</v>
      </c>
      <c r="U5">
        <v>9.5</v>
      </c>
      <c r="V5" t="str">
        <f>IF(DraftData[[#This Row],[Pick]]&lt;=5,"Top 5",
IF(DraftData[[#This Row],[Pick]]&lt;=14,"Lottery",
IF(DraftData[[#This Row],[Pick]]&lt;=20,"Mid First","Late First")))</f>
        <v>Top 5</v>
      </c>
      <c r="W5" t="str">
        <f>IF(DraftData[[#This Row],[Win Shares]]&gt;=80,"Star",
IF(DraftData[[#This Row],[Win Shares]]&gt;=30,"Starter",
IF(DraftData[[#This Row],[Win Shares]]&gt;=10,"Rotation","Minimal")))</f>
        <v>Star</v>
      </c>
      <c r="X5" t="str">
        <f>IF(AND(DraftData[[#This Row],[Pick]]&lt;=14,DraftData[[#This Row],[Win Shares]]&lt;10),"Yes","No")</f>
        <v>No</v>
      </c>
      <c r="Y5" s="2">
        <f>DraftData[[#This Row],[Win Shares]]/DraftData[[#This Row],[Pick]]</f>
        <v>49.55</v>
      </c>
      <c r="Z5" s="2">
        <f>DraftData[[#This Row],[Win Shares]]-_xlfn.XLOOKUP(DraftData[[#This Row],[Pick]],'Lookup Tables'!$A$2:$A$31,'Lookup Tables'!$B$2:$B$31)</f>
        <v>149.64166666666665</v>
      </c>
    </row>
    <row r="6" spans="1:26">
      <c r="A6">
        <v>2005</v>
      </c>
      <c r="B6">
        <v>5</v>
      </c>
      <c r="C6" t="s">
        <v>48</v>
      </c>
      <c r="D6" t="s">
        <v>49</v>
      </c>
      <c r="E6" t="s">
        <v>41</v>
      </c>
      <c r="F6">
        <v>971</v>
      </c>
      <c r="G6">
        <v>28829</v>
      </c>
      <c r="H6">
        <v>10853</v>
      </c>
      <c r="I6">
        <v>2867</v>
      </c>
      <c r="J6">
        <v>5096</v>
      </c>
      <c r="K6">
        <v>0.41199999999999998</v>
      </c>
      <c r="L6">
        <v>0.32900000000000001</v>
      </c>
      <c r="M6">
        <v>0.79</v>
      </c>
      <c r="N6">
        <v>40.200000000000003</v>
      </c>
      <c r="O6">
        <v>6.7000000000000004E-2</v>
      </c>
      <c r="P6">
        <v>-0.6</v>
      </c>
      <c r="Q6">
        <v>10.1</v>
      </c>
      <c r="R6">
        <v>29.7</v>
      </c>
      <c r="S6">
        <v>11.2</v>
      </c>
      <c r="T6">
        <v>3</v>
      </c>
      <c r="U6">
        <v>5.2</v>
      </c>
      <c r="V6" t="str">
        <f>IF(DraftData[[#This Row],[Pick]]&lt;=5,"Top 5",
IF(DraftData[[#This Row],[Pick]]&lt;=14,"Lottery",
IF(DraftData[[#This Row],[Pick]]&lt;=20,"Mid First","Late First")))</f>
        <v>Top 5</v>
      </c>
      <c r="W6" t="str">
        <f>IF(DraftData[[#This Row],[Win Shares]]&gt;=80,"Star",
IF(DraftData[[#This Row],[Win Shares]]&gt;=30,"Starter",
IF(DraftData[[#This Row],[Win Shares]]&gt;=10,"Rotation","Minimal")))</f>
        <v>Starter</v>
      </c>
      <c r="X6" t="str">
        <f>IF(AND(DraftData[[#This Row],[Pick]]&lt;=14,DraftData[[#This Row],[Win Shares]]&lt;10),"Yes","No")</f>
        <v>No</v>
      </c>
      <c r="Y6" s="2">
        <f>DraftData[[#This Row],[Win Shares]]/DraftData[[#This Row],[Pick]]</f>
        <v>8.0400000000000009</v>
      </c>
      <c r="Z6" s="2">
        <f>DraftData[[#This Row],[Win Shares]]-_xlfn.XLOOKUP(DraftData[[#This Row],[Pick]],'Lookup Tables'!$A$2:$A$31,'Lookup Tables'!$B$2:$B$31)</f>
        <v>8.841666666666665</v>
      </c>
    </row>
    <row r="7" spans="1:26">
      <c r="A7">
        <v>2005</v>
      </c>
      <c r="B7">
        <v>6</v>
      </c>
      <c r="C7" t="s">
        <v>50</v>
      </c>
      <c r="D7" t="s">
        <v>51</v>
      </c>
      <c r="F7">
        <v>580</v>
      </c>
      <c r="G7">
        <v>13914</v>
      </c>
      <c r="H7">
        <v>5056</v>
      </c>
      <c r="I7">
        <v>1811</v>
      </c>
      <c r="J7">
        <v>588</v>
      </c>
      <c r="K7">
        <v>0.41799999999999998</v>
      </c>
      <c r="L7">
        <v>0.38200000000000001</v>
      </c>
      <c r="M7">
        <v>0.79100000000000004</v>
      </c>
      <c r="N7">
        <v>24.7</v>
      </c>
      <c r="O7">
        <v>8.5000000000000006E-2</v>
      </c>
      <c r="P7">
        <v>-0.8</v>
      </c>
      <c r="Q7">
        <v>4.3</v>
      </c>
      <c r="R7">
        <v>24</v>
      </c>
      <c r="S7">
        <v>8.6999999999999993</v>
      </c>
      <c r="T7">
        <v>3.1</v>
      </c>
      <c r="U7">
        <v>1</v>
      </c>
      <c r="V7" t="str">
        <f>IF(DraftData[[#This Row],[Pick]]&lt;=5,"Top 5",
IF(DraftData[[#This Row],[Pick]]&lt;=14,"Lottery",
IF(DraftData[[#This Row],[Pick]]&lt;=20,"Mid First","Late First")))</f>
        <v>Lottery</v>
      </c>
      <c r="W7" t="str">
        <f>IF(DraftData[[#This Row],[Win Shares]]&gt;=80,"Star",
IF(DraftData[[#This Row],[Win Shares]]&gt;=30,"Starter",
IF(DraftData[[#This Row],[Win Shares]]&gt;=10,"Rotation","Minimal")))</f>
        <v>Rotation</v>
      </c>
      <c r="X7" t="str">
        <f>IF(AND(DraftData[[#This Row],[Pick]]&lt;=14,DraftData[[#This Row],[Win Shares]]&lt;10),"Yes","No")</f>
        <v>No</v>
      </c>
      <c r="Y7" s="2">
        <f>DraftData[[#This Row],[Win Shares]]/DraftData[[#This Row],[Pick]]</f>
        <v>4.1166666666666663</v>
      </c>
      <c r="Z7" s="2">
        <f>DraftData[[#This Row],[Win Shares]]-_xlfn.XLOOKUP(DraftData[[#This Row],[Pick]],'Lookup Tables'!$A$2:$A$31,'Lookup Tables'!$B$2:$B$31)</f>
        <v>-2.9583333333333357</v>
      </c>
    </row>
    <row r="8" spans="1:26">
      <c r="A8">
        <v>2005</v>
      </c>
      <c r="B8">
        <v>7</v>
      </c>
      <c r="C8" t="s">
        <v>52</v>
      </c>
      <c r="D8" t="s">
        <v>53</v>
      </c>
      <c r="E8" t="s">
        <v>54</v>
      </c>
      <c r="F8">
        <v>656</v>
      </c>
      <c r="G8">
        <v>13578</v>
      </c>
      <c r="H8">
        <v>6808</v>
      </c>
      <c r="I8">
        <v>3019</v>
      </c>
      <c r="J8">
        <v>549</v>
      </c>
      <c r="K8">
        <v>0.435</v>
      </c>
      <c r="L8">
        <v>0.34100000000000003</v>
      </c>
      <c r="M8">
        <v>0.77200000000000002</v>
      </c>
      <c r="N8">
        <v>22.6</v>
      </c>
      <c r="O8">
        <v>0.08</v>
      </c>
      <c r="P8">
        <v>-0.6</v>
      </c>
      <c r="Q8">
        <v>4.7</v>
      </c>
      <c r="R8">
        <v>20.7</v>
      </c>
      <c r="S8">
        <v>10.4</v>
      </c>
      <c r="T8">
        <v>4.5999999999999996</v>
      </c>
      <c r="U8">
        <v>0.8</v>
      </c>
      <c r="V8" t="str">
        <f>IF(DraftData[[#This Row],[Pick]]&lt;=5,"Top 5",
IF(DraftData[[#This Row],[Pick]]&lt;=14,"Lottery",
IF(DraftData[[#This Row],[Pick]]&lt;=20,"Mid First","Late First")))</f>
        <v>Lottery</v>
      </c>
      <c r="W8" t="str">
        <f>IF(DraftData[[#This Row],[Win Shares]]&gt;=80,"Star",
IF(DraftData[[#This Row],[Win Shares]]&gt;=30,"Starter",
IF(DraftData[[#This Row],[Win Shares]]&gt;=10,"Rotation","Minimal")))</f>
        <v>Rotation</v>
      </c>
      <c r="X8" t="str">
        <f>IF(AND(DraftData[[#This Row],[Pick]]&lt;=14,DraftData[[#This Row],[Win Shares]]&lt;10),"Yes","No")</f>
        <v>No</v>
      </c>
      <c r="Y8" s="2">
        <f>DraftData[[#This Row],[Win Shares]]/DraftData[[#This Row],[Pick]]</f>
        <v>3.2285714285714286</v>
      </c>
      <c r="Z8" s="2">
        <f>DraftData[[#This Row],[Win Shares]]-_xlfn.XLOOKUP(DraftData[[#This Row],[Pick]],'Lookup Tables'!$A$2:$A$31,'Lookup Tables'!$B$2:$B$31)</f>
        <v>-11.375000000000007</v>
      </c>
    </row>
    <row r="9" spans="1:26">
      <c r="A9">
        <v>2005</v>
      </c>
      <c r="B9">
        <v>8</v>
      </c>
      <c r="C9" t="s">
        <v>55</v>
      </c>
      <c r="D9" t="s">
        <v>56</v>
      </c>
      <c r="E9" t="s">
        <v>57</v>
      </c>
      <c r="F9">
        <v>890</v>
      </c>
      <c r="G9">
        <v>19772</v>
      </c>
      <c r="H9">
        <v>7786</v>
      </c>
      <c r="I9">
        <v>4002</v>
      </c>
      <c r="J9">
        <v>864</v>
      </c>
      <c r="K9">
        <v>0.44</v>
      </c>
      <c r="L9">
        <v>0.38800000000000001</v>
      </c>
      <c r="M9">
        <v>0.82199999999999995</v>
      </c>
      <c r="N9">
        <v>38.9</v>
      </c>
      <c r="O9">
        <v>9.4E-2</v>
      </c>
      <c r="P9">
        <v>-0.4</v>
      </c>
      <c r="Q9">
        <v>8</v>
      </c>
      <c r="R9">
        <v>22.2</v>
      </c>
      <c r="S9">
        <v>8.6999999999999993</v>
      </c>
      <c r="T9">
        <v>4.5</v>
      </c>
      <c r="U9">
        <v>1</v>
      </c>
      <c r="V9" t="str">
        <f>IF(DraftData[[#This Row],[Pick]]&lt;=5,"Top 5",
IF(DraftData[[#This Row],[Pick]]&lt;=14,"Lottery",
IF(DraftData[[#This Row],[Pick]]&lt;=20,"Mid First","Late First")))</f>
        <v>Lottery</v>
      </c>
      <c r="W9" t="str">
        <f>IF(DraftData[[#This Row],[Win Shares]]&gt;=80,"Star",
IF(DraftData[[#This Row],[Win Shares]]&gt;=30,"Starter",
IF(DraftData[[#This Row],[Win Shares]]&gt;=10,"Rotation","Minimal")))</f>
        <v>Starter</v>
      </c>
      <c r="X9" t="str">
        <f>IF(AND(DraftData[[#This Row],[Pick]]&lt;=14,DraftData[[#This Row],[Win Shares]]&lt;10),"Yes","No")</f>
        <v>No</v>
      </c>
      <c r="Y9" s="2">
        <f>DraftData[[#This Row],[Win Shares]]/DraftData[[#This Row],[Pick]]</f>
        <v>4.8624999999999998</v>
      </c>
      <c r="Z9" s="2">
        <f>DraftData[[#This Row],[Win Shares]]-_xlfn.XLOOKUP(DraftData[[#This Row],[Pick]],'Lookup Tables'!$A$2:$A$31,'Lookup Tables'!$B$2:$B$31)</f>
        <v>17.741666666666667</v>
      </c>
    </row>
    <row r="10" spans="1:26">
      <c r="A10">
        <v>2005</v>
      </c>
      <c r="B10">
        <v>9</v>
      </c>
      <c r="C10" t="s">
        <v>58</v>
      </c>
      <c r="D10" t="s">
        <v>59</v>
      </c>
      <c r="E10" t="s">
        <v>60</v>
      </c>
      <c r="F10">
        <v>225</v>
      </c>
      <c r="G10">
        <v>2795</v>
      </c>
      <c r="H10">
        <v>1348</v>
      </c>
      <c r="I10">
        <v>689</v>
      </c>
      <c r="J10">
        <v>69</v>
      </c>
      <c r="K10">
        <v>0.50900000000000001</v>
      </c>
      <c r="L10">
        <v>0.5</v>
      </c>
      <c r="M10">
        <v>0.78600000000000003</v>
      </c>
      <c r="N10">
        <v>6.5</v>
      </c>
      <c r="O10">
        <v>0.112</v>
      </c>
      <c r="P10">
        <v>-3</v>
      </c>
      <c r="Q10">
        <v>-0.7</v>
      </c>
      <c r="R10">
        <v>12.4</v>
      </c>
      <c r="S10">
        <v>6</v>
      </c>
      <c r="T10">
        <v>3.1</v>
      </c>
      <c r="U10">
        <v>0.3</v>
      </c>
      <c r="V10" t="str">
        <f>IF(DraftData[[#This Row],[Pick]]&lt;=5,"Top 5",
IF(DraftData[[#This Row],[Pick]]&lt;=14,"Lottery",
IF(DraftData[[#This Row],[Pick]]&lt;=20,"Mid First","Late First")))</f>
        <v>Lottery</v>
      </c>
      <c r="W10" t="str">
        <f>IF(DraftData[[#This Row],[Win Shares]]&gt;=80,"Star",
IF(DraftData[[#This Row],[Win Shares]]&gt;=30,"Starter",
IF(DraftData[[#This Row],[Win Shares]]&gt;=10,"Rotation","Minimal")))</f>
        <v>Minimal</v>
      </c>
      <c r="X10" t="str">
        <f>IF(AND(DraftData[[#This Row],[Pick]]&lt;=14,DraftData[[#This Row],[Win Shares]]&lt;10),"Yes","No")</f>
        <v>Yes</v>
      </c>
      <c r="Y10" s="2">
        <f>DraftData[[#This Row],[Win Shares]]/DraftData[[#This Row],[Pick]]</f>
        <v>0.72222222222222221</v>
      </c>
      <c r="Z10" s="2">
        <f>DraftData[[#This Row],[Win Shares]]-_xlfn.XLOOKUP(DraftData[[#This Row],[Pick]],'Lookup Tables'!$A$2:$A$31,'Lookup Tables'!$B$2:$B$31)</f>
        <v>-30.891666666666666</v>
      </c>
    </row>
    <row r="11" spans="1:26">
      <c r="A11">
        <v>2005</v>
      </c>
      <c r="B11">
        <v>10</v>
      </c>
      <c r="C11" t="s">
        <v>61</v>
      </c>
      <c r="D11" t="s">
        <v>62</v>
      </c>
      <c r="F11">
        <v>418</v>
      </c>
      <c r="G11">
        <v>10690</v>
      </c>
      <c r="H11">
        <v>4822</v>
      </c>
      <c r="I11">
        <v>3221</v>
      </c>
      <c r="J11">
        <v>490</v>
      </c>
      <c r="K11">
        <v>0.55600000000000005</v>
      </c>
      <c r="L11">
        <v>0.111</v>
      </c>
      <c r="M11">
        <v>0.69</v>
      </c>
      <c r="N11">
        <v>37.4</v>
      </c>
      <c r="O11">
        <v>0.16800000000000001</v>
      </c>
      <c r="P11">
        <v>1.4</v>
      </c>
      <c r="Q11">
        <v>9.1</v>
      </c>
      <c r="R11">
        <v>25.6</v>
      </c>
      <c r="S11">
        <v>11.5</v>
      </c>
      <c r="T11">
        <v>7.7</v>
      </c>
      <c r="U11">
        <v>1.2</v>
      </c>
      <c r="V11" t="str">
        <f>IF(DraftData[[#This Row],[Pick]]&lt;=5,"Top 5",
IF(DraftData[[#This Row],[Pick]]&lt;=14,"Lottery",
IF(DraftData[[#This Row],[Pick]]&lt;=20,"Mid First","Late First")))</f>
        <v>Lottery</v>
      </c>
      <c r="W11" t="str">
        <f>IF(DraftData[[#This Row],[Win Shares]]&gt;=80,"Star",
IF(DraftData[[#This Row],[Win Shares]]&gt;=30,"Starter",
IF(DraftData[[#This Row],[Win Shares]]&gt;=10,"Rotation","Minimal")))</f>
        <v>Starter</v>
      </c>
      <c r="X11" t="str">
        <f>IF(AND(DraftData[[#This Row],[Pick]]&lt;=14,DraftData[[#This Row],[Win Shares]]&lt;10),"Yes","No")</f>
        <v>No</v>
      </c>
      <c r="Y11" s="2">
        <f>DraftData[[#This Row],[Win Shares]]/DraftData[[#This Row],[Pick]]</f>
        <v>3.7399999999999998</v>
      </c>
      <c r="Z11" s="2">
        <f>DraftData[[#This Row],[Win Shares]]-_xlfn.XLOOKUP(DraftData[[#This Row],[Pick]],'Lookup Tables'!$A$2:$A$31,'Lookup Tables'!$B$2:$B$31)</f>
        <v>10.55</v>
      </c>
    </row>
    <row r="12" spans="1:26">
      <c r="A12">
        <v>2005</v>
      </c>
      <c r="B12">
        <v>11</v>
      </c>
      <c r="C12" t="s">
        <v>63</v>
      </c>
      <c r="D12" t="s">
        <v>64</v>
      </c>
      <c r="V12" t="str">
        <f>IF(DraftData[[#This Row],[Pick]]&lt;=5,"Top 5",
IF(DraftData[[#This Row],[Pick]]&lt;=14,"Lottery",
IF(DraftData[[#This Row],[Pick]]&lt;=20,"Mid First","Late First")))</f>
        <v>Lottery</v>
      </c>
      <c r="W12" t="str">
        <f>IF(DraftData[[#This Row],[Win Shares]]&gt;=80,"Star",
IF(DraftData[[#This Row],[Win Shares]]&gt;=30,"Starter",
IF(DraftData[[#This Row],[Win Shares]]&gt;=10,"Rotation","Minimal")))</f>
        <v>Minimal</v>
      </c>
      <c r="X12" t="str">
        <f>IF(AND(DraftData[[#This Row],[Pick]]&lt;=14,DraftData[[#This Row],[Win Shares]]&lt;10),"Yes","No")</f>
        <v>Yes</v>
      </c>
      <c r="Y12" s="2">
        <f>DraftData[[#This Row],[Win Shares]]/DraftData[[#This Row],[Pick]]</f>
        <v>0</v>
      </c>
      <c r="Z12" s="2">
        <f>DraftData[[#This Row],[Win Shares]]-_xlfn.XLOOKUP(DraftData[[#This Row],[Pick]],'Lookup Tables'!$A$2:$A$31,'Lookup Tables'!$B$2:$B$31)</f>
        <v>-22.7</v>
      </c>
    </row>
    <row r="13" spans="1:26">
      <c r="A13">
        <v>2005</v>
      </c>
      <c r="B13">
        <v>12</v>
      </c>
      <c r="C13" t="s">
        <v>65</v>
      </c>
      <c r="D13" t="s">
        <v>66</v>
      </c>
      <c r="F13">
        <v>34</v>
      </c>
      <c r="G13">
        <v>168</v>
      </c>
      <c r="H13">
        <v>39</v>
      </c>
      <c r="I13">
        <v>16</v>
      </c>
      <c r="J13">
        <v>13</v>
      </c>
      <c r="K13">
        <v>0.28299999999999997</v>
      </c>
      <c r="L13">
        <v>0.25</v>
      </c>
      <c r="M13">
        <v>0.625</v>
      </c>
      <c r="N13">
        <v>-0.1</v>
      </c>
      <c r="O13">
        <v>-2.4E-2</v>
      </c>
      <c r="P13">
        <v>-5.2</v>
      </c>
      <c r="Q13">
        <v>-0.1</v>
      </c>
      <c r="R13">
        <v>4.9000000000000004</v>
      </c>
      <c r="S13">
        <v>1.1000000000000001</v>
      </c>
      <c r="T13">
        <v>0.5</v>
      </c>
      <c r="U13">
        <v>0.4</v>
      </c>
      <c r="V13" t="str">
        <f>IF(DraftData[[#This Row],[Pick]]&lt;=5,"Top 5",
IF(DraftData[[#This Row],[Pick]]&lt;=14,"Lottery",
IF(DraftData[[#This Row],[Pick]]&lt;=20,"Mid First","Late First")))</f>
        <v>Lottery</v>
      </c>
      <c r="W13" t="str">
        <f>IF(DraftData[[#This Row],[Win Shares]]&gt;=80,"Star",
IF(DraftData[[#This Row],[Win Shares]]&gt;=30,"Starter",
IF(DraftData[[#This Row],[Win Shares]]&gt;=10,"Rotation","Minimal")))</f>
        <v>Minimal</v>
      </c>
      <c r="X13" t="str">
        <f>IF(AND(DraftData[[#This Row],[Pick]]&lt;=14,DraftData[[#This Row],[Win Shares]]&lt;10),"Yes","No")</f>
        <v>Yes</v>
      </c>
      <c r="Y13" s="2">
        <f>DraftData[[#This Row],[Win Shares]]/DraftData[[#This Row],[Pick]]</f>
        <v>-8.3333333333333332E-3</v>
      </c>
      <c r="Z13" s="2">
        <f>DraftData[[#This Row],[Win Shares]]-_xlfn.XLOOKUP(DraftData[[#This Row],[Pick]],'Lookup Tables'!$A$2:$A$31,'Lookup Tables'!$B$2:$B$31)</f>
        <v>-21.416666666666668</v>
      </c>
    </row>
    <row r="14" spans="1:26">
      <c r="A14">
        <v>2005</v>
      </c>
      <c r="B14">
        <v>13</v>
      </c>
      <c r="C14" t="s">
        <v>48</v>
      </c>
      <c r="D14" t="s">
        <v>67</v>
      </c>
      <c r="E14" t="s">
        <v>41</v>
      </c>
      <c r="F14">
        <v>119</v>
      </c>
      <c r="G14">
        <v>1868</v>
      </c>
      <c r="H14">
        <v>821</v>
      </c>
      <c r="I14">
        <v>481</v>
      </c>
      <c r="J14">
        <v>115</v>
      </c>
      <c r="K14">
        <v>0.45800000000000002</v>
      </c>
      <c r="L14">
        <v>0.23100000000000001</v>
      </c>
      <c r="M14">
        <v>0.746</v>
      </c>
      <c r="N14">
        <v>2.6</v>
      </c>
      <c r="O14">
        <v>6.8000000000000005E-2</v>
      </c>
      <c r="P14">
        <v>-1.7</v>
      </c>
      <c r="Q14">
        <v>0.2</v>
      </c>
      <c r="R14">
        <v>15.7</v>
      </c>
      <c r="S14">
        <v>6.9</v>
      </c>
      <c r="T14">
        <v>4</v>
      </c>
      <c r="U14">
        <v>1</v>
      </c>
      <c r="V14" t="str">
        <f>IF(DraftData[[#This Row],[Pick]]&lt;=5,"Top 5",
IF(DraftData[[#This Row],[Pick]]&lt;=14,"Lottery",
IF(DraftData[[#This Row],[Pick]]&lt;=20,"Mid First","Late First")))</f>
        <v>Lottery</v>
      </c>
      <c r="W14" t="str">
        <f>IF(DraftData[[#This Row],[Win Shares]]&gt;=80,"Star",
IF(DraftData[[#This Row],[Win Shares]]&gt;=30,"Starter",
IF(DraftData[[#This Row],[Win Shares]]&gt;=10,"Rotation","Minimal")))</f>
        <v>Minimal</v>
      </c>
      <c r="X14" t="str">
        <f>IF(AND(DraftData[[#This Row],[Pick]]&lt;=14,DraftData[[#This Row],[Win Shares]]&lt;10),"Yes","No")</f>
        <v>Yes</v>
      </c>
      <c r="Y14" s="2">
        <f>DraftData[[#This Row],[Win Shares]]/DraftData[[#This Row],[Pick]]</f>
        <v>0.2</v>
      </c>
      <c r="Z14" s="2">
        <f>DraftData[[#This Row],[Win Shares]]-_xlfn.XLOOKUP(DraftData[[#This Row],[Pick]],'Lookup Tables'!$A$2:$A$31,'Lookup Tables'!$B$2:$B$31)</f>
        <v>-16.733333333333331</v>
      </c>
    </row>
    <row r="15" spans="1:26">
      <c r="A15">
        <v>2005</v>
      </c>
      <c r="B15">
        <v>14</v>
      </c>
      <c r="C15" t="s">
        <v>68</v>
      </c>
      <c r="D15" t="s">
        <v>69</v>
      </c>
      <c r="E15" t="s">
        <v>41</v>
      </c>
      <c r="F15">
        <v>249</v>
      </c>
      <c r="G15">
        <v>5037</v>
      </c>
      <c r="H15">
        <v>2479</v>
      </c>
      <c r="I15">
        <v>506</v>
      </c>
      <c r="J15">
        <v>331</v>
      </c>
      <c r="K15">
        <v>0.43099999999999999</v>
      </c>
      <c r="L15">
        <v>0.36799999999999999</v>
      </c>
      <c r="M15">
        <v>0.74099999999999999</v>
      </c>
      <c r="N15">
        <v>3.6</v>
      </c>
      <c r="O15">
        <v>3.5000000000000003E-2</v>
      </c>
      <c r="P15">
        <v>-1.7</v>
      </c>
      <c r="Q15">
        <v>0.4</v>
      </c>
      <c r="R15">
        <v>20.2</v>
      </c>
      <c r="S15">
        <v>10</v>
      </c>
      <c r="T15">
        <v>2</v>
      </c>
      <c r="U15">
        <v>1.3</v>
      </c>
      <c r="V15" t="str">
        <f>IF(DraftData[[#This Row],[Pick]]&lt;=5,"Top 5",
IF(DraftData[[#This Row],[Pick]]&lt;=14,"Lottery",
IF(DraftData[[#This Row],[Pick]]&lt;=20,"Mid First","Late First")))</f>
        <v>Lottery</v>
      </c>
      <c r="W15" t="str">
        <f>IF(DraftData[[#This Row],[Win Shares]]&gt;=80,"Star",
IF(DraftData[[#This Row],[Win Shares]]&gt;=30,"Starter",
IF(DraftData[[#This Row],[Win Shares]]&gt;=10,"Rotation","Minimal")))</f>
        <v>Minimal</v>
      </c>
      <c r="X15" t="str">
        <f>IF(AND(DraftData[[#This Row],[Pick]]&lt;=14,DraftData[[#This Row],[Win Shares]]&lt;10),"Yes","No")</f>
        <v>Yes</v>
      </c>
      <c r="Y15" s="2">
        <f>DraftData[[#This Row],[Win Shares]]/DraftData[[#This Row],[Pick]]</f>
        <v>0.25714285714285717</v>
      </c>
      <c r="Z15" s="2">
        <f>DraftData[[#This Row],[Win Shares]]-_xlfn.XLOOKUP(DraftData[[#This Row],[Pick]],'Lookup Tables'!$A$2:$A$31,'Lookup Tables'!$B$2:$B$31)</f>
        <v>-11.149999999999999</v>
      </c>
    </row>
    <row r="16" spans="1:26">
      <c r="A16">
        <v>2005</v>
      </c>
      <c r="B16">
        <v>15</v>
      </c>
      <c r="C16" t="s">
        <v>70</v>
      </c>
      <c r="D16" t="s">
        <v>71</v>
      </c>
      <c r="E16" t="s">
        <v>72</v>
      </c>
      <c r="F16">
        <v>297</v>
      </c>
      <c r="G16">
        <v>5714</v>
      </c>
      <c r="H16">
        <v>1614</v>
      </c>
      <c r="I16">
        <v>681</v>
      </c>
      <c r="J16">
        <v>295</v>
      </c>
      <c r="K16">
        <v>0.41199999999999998</v>
      </c>
      <c r="L16">
        <v>0.30399999999999999</v>
      </c>
      <c r="M16">
        <v>0.67400000000000004</v>
      </c>
      <c r="N16">
        <v>3.1</v>
      </c>
      <c r="O16">
        <v>2.5999999999999999E-2</v>
      </c>
      <c r="P16">
        <v>-3.7</v>
      </c>
      <c r="Q16">
        <v>-2.4</v>
      </c>
      <c r="R16">
        <v>19.2</v>
      </c>
      <c r="S16">
        <v>5.4</v>
      </c>
      <c r="T16">
        <v>2.2999999999999998</v>
      </c>
      <c r="U16">
        <v>1</v>
      </c>
      <c r="V16" t="str">
        <f>IF(DraftData[[#This Row],[Pick]]&lt;=5,"Top 5",
IF(DraftData[[#This Row],[Pick]]&lt;=14,"Lottery",
IF(DraftData[[#This Row],[Pick]]&lt;=20,"Mid First","Late First")))</f>
        <v>Mid First</v>
      </c>
      <c r="W16" t="str">
        <f>IF(DraftData[[#This Row],[Win Shares]]&gt;=80,"Star",
IF(DraftData[[#This Row],[Win Shares]]&gt;=30,"Starter",
IF(DraftData[[#This Row],[Win Shares]]&gt;=10,"Rotation","Minimal")))</f>
        <v>Minimal</v>
      </c>
      <c r="X16" t="str">
        <f>IF(AND(DraftData[[#This Row],[Pick]]&lt;=14,DraftData[[#This Row],[Win Shares]]&lt;10),"Yes","No")</f>
        <v>No</v>
      </c>
      <c r="Y16" s="2">
        <f>DraftData[[#This Row],[Win Shares]]/DraftData[[#This Row],[Pick]]</f>
        <v>0.20666666666666667</v>
      </c>
      <c r="Z16" s="2">
        <f>DraftData[[#This Row],[Win Shares]]-_xlfn.XLOOKUP(DraftData[[#This Row],[Pick]],'Lookup Tables'!$A$2:$A$31,'Lookup Tables'!$B$2:$B$31)</f>
        <v>-22.68333333333333</v>
      </c>
    </row>
    <row r="17" spans="1:26">
      <c r="A17">
        <v>2005</v>
      </c>
      <c r="B17">
        <v>16</v>
      </c>
      <c r="C17" t="s">
        <v>52</v>
      </c>
      <c r="D17" t="s">
        <v>73</v>
      </c>
      <c r="E17" t="s">
        <v>74</v>
      </c>
      <c r="F17">
        <v>377</v>
      </c>
      <c r="G17">
        <v>6117</v>
      </c>
      <c r="H17">
        <v>2239</v>
      </c>
      <c r="I17">
        <v>1058</v>
      </c>
      <c r="J17">
        <v>207</v>
      </c>
      <c r="K17">
        <v>0.48299999999999998</v>
      </c>
      <c r="L17">
        <v>0.3</v>
      </c>
      <c r="M17">
        <v>0.81499999999999995</v>
      </c>
      <c r="N17">
        <v>7.8</v>
      </c>
      <c r="O17">
        <v>6.0999999999999999E-2</v>
      </c>
      <c r="P17">
        <v>-3.6</v>
      </c>
      <c r="Q17">
        <v>-2.4</v>
      </c>
      <c r="R17">
        <v>16.2</v>
      </c>
      <c r="S17">
        <v>5.9</v>
      </c>
      <c r="T17">
        <v>2.8</v>
      </c>
      <c r="U17">
        <v>0.5</v>
      </c>
      <c r="V17" t="str">
        <f>IF(DraftData[[#This Row],[Pick]]&lt;=5,"Top 5",
IF(DraftData[[#This Row],[Pick]]&lt;=14,"Lottery",
IF(DraftData[[#This Row],[Pick]]&lt;=20,"Mid First","Late First")))</f>
        <v>Mid First</v>
      </c>
      <c r="W17" t="str">
        <f>IF(DraftData[[#This Row],[Win Shares]]&gt;=80,"Star",
IF(DraftData[[#This Row],[Win Shares]]&gt;=30,"Starter",
IF(DraftData[[#This Row],[Win Shares]]&gt;=10,"Rotation","Minimal")))</f>
        <v>Minimal</v>
      </c>
      <c r="X17" t="str">
        <f>IF(AND(DraftData[[#This Row],[Pick]]&lt;=14,DraftData[[#This Row],[Win Shares]]&lt;10),"Yes","No")</f>
        <v>No</v>
      </c>
      <c r="Y17" s="2">
        <f>DraftData[[#This Row],[Win Shares]]/DraftData[[#This Row],[Pick]]</f>
        <v>0.48749999999999999</v>
      </c>
      <c r="Z17" s="2">
        <f>DraftData[[#This Row],[Win Shares]]-_xlfn.XLOOKUP(DraftData[[#This Row],[Pick]],'Lookup Tables'!$A$2:$A$31,'Lookup Tables'!$B$2:$B$31)</f>
        <v>-9.1833333333333336</v>
      </c>
    </row>
    <row r="18" spans="1:26">
      <c r="A18">
        <v>2005</v>
      </c>
      <c r="B18">
        <v>17</v>
      </c>
      <c r="C18" t="s">
        <v>75</v>
      </c>
      <c r="D18" t="s">
        <v>76</v>
      </c>
      <c r="E18" t="s">
        <v>77</v>
      </c>
      <c r="F18">
        <v>586</v>
      </c>
      <c r="G18">
        <v>18487</v>
      </c>
      <c r="H18">
        <v>9855</v>
      </c>
      <c r="I18">
        <v>2888</v>
      </c>
      <c r="J18">
        <v>1097</v>
      </c>
      <c r="K18">
        <v>0.434</v>
      </c>
      <c r="L18">
        <v>0.38</v>
      </c>
      <c r="M18">
        <v>0.84799999999999998</v>
      </c>
      <c r="N18">
        <v>48.5</v>
      </c>
      <c r="O18">
        <v>0.126</v>
      </c>
      <c r="P18">
        <v>1.8</v>
      </c>
      <c r="Q18">
        <v>17.7</v>
      </c>
      <c r="R18">
        <v>31.5</v>
      </c>
      <c r="S18">
        <v>16.8</v>
      </c>
      <c r="T18">
        <v>4.9000000000000004</v>
      </c>
      <c r="U18">
        <v>1.9</v>
      </c>
      <c r="V18" t="str">
        <f>IF(DraftData[[#This Row],[Pick]]&lt;=5,"Top 5",
IF(DraftData[[#This Row],[Pick]]&lt;=14,"Lottery",
IF(DraftData[[#This Row],[Pick]]&lt;=20,"Mid First","Late First")))</f>
        <v>Mid First</v>
      </c>
      <c r="W18" t="str">
        <f>IF(DraftData[[#This Row],[Win Shares]]&gt;=80,"Star",
IF(DraftData[[#This Row],[Win Shares]]&gt;=30,"Starter",
IF(DraftData[[#This Row],[Win Shares]]&gt;=10,"Rotation","Minimal")))</f>
        <v>Starter</v>
      </c>
      <c r="X18" t="str">
        <f>IF(AND(DraftData[[#This Row],[Pick]]&lt;=14,DraftData[[#This Row],[Win Shares]]&lt;10),"Yes","No")</f>
        <v>No</v>
      </c>
      <c r="Y18" s="2">
        <f>DraftData[[#This Row],[Win Shares]]/DraftData[[#This Row],[Pick]]</f>
        <v>2.8529411764705883</v>
      </c>
      <c r="Z18" s="2">
        <f>DraftData[[#This Row],[Win Shares]]-_xlfn.XLOOKUP(DraftData[[#This Row],[Pick]],'Lookup Tables'!$A$2:$A$31,'Lookup Tables'!$B$2:$B$31)</f>
        <v>31.183333333333334</v>
      </c>
    </row>
    <row r="19" spans="1:26">
      <c r="A19">
        <v>2005</v>
      </c>
      <c r="B19">
        <v>18</v>
      </c>
      <c r="C19" t="s">
        <v>78</v>
      </c>
      <c r="D19" t="s">
        <v>79</v>
      </c>
      <c r="F19">
        <v>658</v>
      </c>
      <c r="G19">
        <v>13026</v>
      </c>
      <c r="H19">
        <v>6412</v>
      </c>
      <c r="I19">
        <v>1639</v>
      </c>
      <c r="J19">
        <v>596</v>
      </c>
      <c r="K19">
        <v>0.41699999999999998</v>
      </c>
      <c r="L19">
        <v>0.36099999999999999</v>
      </c>
      <c r="M19">
        <v>0.81799999999999995</v>
      </c>
      <c r="N19">
        <v>18.399999999999999</v>
      </c>
      <c r="O19">
        <v>6.8000000000000005E-2</v>
      </c>
      <c r="P19">
        <v>-1.3</v>
      </c>
      <c r="Q19">
        <v>2.4</v>
      </c>
      <c r="R19">
        <v>19.8</v>
      </c>
      <c r="S19">
        <v>9.6999999999999993</v>
      </c>
      <c r="T19">
        <v>2.5</v>
      </c>
      <c r="U19">
        <v>0.9</v>
      </c>
      <c r="V19" t="str">
        <f>IF(DraftData[[#This Row],[Pick]]&lt;=5,"Top 5",
IF(DraftData[[#This Row],[Pick]]&lt;=14,"Lottery",
IF(DraftData[[#This Row],[Pick]]&lt;=20,"Mid First","Late First")))</f>
        <v>Mid First</v>
      </c>
      <c r="W19" t="str">
        <f>IF(DraftData[[#This Row],[Win Shares]]&gt;=80,"Star",
IF(DraftData[[#This Row],[Win Shares]]&gt;=30,"Starter",
IF(DraftData[[#This Row],[Win Shares]]&gt;=10,"Rotation","Minimal")))</f>
        <v>Rotation</v>
      </c>
      <c r="X19" t="str">
        <f>IF(AND(DraftData[[#This Row],[Pick]]&lt;=14,DraftData[[#This Row],[Win Shares]]&lt;10),"Yes","No")</f>
        <v>No</v>
      </c>
      <c r="Y19" s="2">
        <f>DraftData[[#This Row],[Win Shares]]/DraftData[[#This Row],[Pick]]</f>
        <v>1.0222222222222221</v>
      </c>
      <c r="Z19" s="2">
        <f>DraftData[[#This Row],[Win Shares]]-_xlfn.XLOOKUP(DraftData[[#This Row],[Pick]],'Lookup Tables'!$A$2:$A$31,'Lookup Tables'!$B$2:$B$31)</f>
        <v>1.091666666666665</v>
      </c>
    </row>
    <row r="20" spans="1:26">
      <c r="A20">
        <v>2005</v>
      </c>
      <c r="B20">
        <v>19</v>
      </c>
      <c r="C20" t="s">
        <v>80</v>
      </c>
      <c r="D20" t="s">
        <v>81</v>
      </c>
      <c r="E20" t="s">
        <v>82</v>
      </c>
      <c r="F20">
        <v>526</v>
      </c>
      <c r="G20">
        <v>10624</v>
      </c>
      <c r="H20">
        <v>4947</v>
      </c>
      <c r="I20">
        <v>2117</v>
      </c>
      <c r="J20">
        <v>400</v>
      </c>
      <c r="K20">
        <v>0.49</v>
      </c>
      <c r="L20">
        <v>0.191</v>
      </c>
      <c r="M20">
        <v>0.72599999999999998</v>
      </c>
      <c r="N20">
        <v>20.399999999999999</v>
      </c>
      <c r="O20">
        <v>9.1999999999999998E-2</v>
      </c>
      <c r="P20">
        <v>-1.9</v>
      </c>
      <c r="Q20">
        <v>0.4</v>
      </c>
      <c r="R20">
        <v>20.2</v>
      </c>
      <c r="S20">
        <v>9.4</v>
      </c>
      <c r="T20">
        <v>4</v>
      </c>
      <c r="U20">
        <v>0.8</v>
      </c>
      <c r="V20" t="str">
        <f>IF(DraftData[[#This Row],[Pick]]&lt;=5,"Top 5",
IF(DraftData[[#This Row],[Pick]]&lt;=14,"Lottery",
IF(DraftData[[#This Row],[Pick]]&lt;=20,"Mid First","Late First")))</f>
        <v>Mid First</v>
      </c>
      <c r="W20" t="str">
        <f>IF(DraftData[[#This Row],[Win Shares]]&gt;=80,"Star",
IF(DraftData[[#This Row],[Win Shares]]&gt;=30,"Starter",
IF(DraftData[[#This Row],[Win Shares]]&gt;=10,"Rotation","Minimal")))</f>
        <v>Rotation</v>
      </c>
      <c r="X20" t="str">
        <f>IF(AND(DraftData[[#This Row],[Pick]]&lt;=14,DraftData[[#This Row],[Win Shares]]&lt;10),"Yes","No")</f>
        <v>No</v>
      </c>
      <c r="Y20" s="2">
        <f>DraftData[[#This Row],[Win Shares]]/DraftData[[#This Row],[Pick]]</f>
        <v>1.0736842105263158</v>
      </c>
      <c r="Z20" s="2">
        <f>DraftData[[#This Row],[Win Shares]]-_xlfn.XLOOKUP(DraftData[[#This Row],[Pick]],'Lookup Tables'!$A$2:$A$31,'Lookup Tables'!$B$2:$B$31)</f>
        <v>2.8249999999999957</v>
      </c>
    </row>
    <row r="21" spans="1:26">
      <c r="A21">
        <v>2005</v>
      </c>
      <c r="B21">
        <v>20</v>
      </c>
      <c r="C21" t="s">
        <v>83</v>
      </c>
      <c r="D21" t="s">
        <v>84</v>
      </c>
      <c r="E21" t="s">
        <v>85</v>
      </c>
      <c r="F21">
        <v>23</v>
      </c>
      <c r="G21">
        <v>98</v>
      </c>
      <c r="H21">
        <v>28</v>
      </c>
      <c r="I21">
        <v>15</v>
      </c>
      <c r="J21">
        <v>18</v>
      </c>
      <c r="K21">
        <v>0.44</v>
      </c>
      <c r="M21">
        <v>0.5</v>
      </c>
      <c r="N21">
        <v>0</v>
      </c>
      <c r="O21">
        <v>3.0000000000000001E-3</v>
      </c>
      <c r="P21">
        <v>-3.7</v>
      </c>
      <c r="Q21">
        <v>0</v>
      </c>
      <c r="R21">
        <v>4.3</v>
      </c>
      <c r="S21">
        <v>1.2</v>
      </c>
      <c r="T21">
        <v>0.7</v>
      </c>
      <c r="U21">
        <v>0.8</v>
      </c>
      <c r="V21" t="str">
        <f>IF(DraftData[[#This Row],[Pick]]&lt;=5,"Top 5",
IF(DraftData[[#This Row],[Pick]]&lt;=14,"Lottery",
IF(DraftData[[#This Row],[Pick]]&lt;=20,"Mid First","Late First")))</f>
        <v>Mid First</v>
      </c>
      <c r="W21" t="str">
        <f>IF(DraftData[[#This Row],[Win Shares]]&gt;=80,"Star",
IF(DraftData[[#This Row],[Win Shares]]&gt;=30,"Starter",
IF(DraftData[[#This Row],[Win Shares]]&gt;=10,"Rotation","Minimal")))</f>
        <v>Minimal</v>
      </c>
      <c r="X21" t="str">
        <f>IF(AND(DraftData[[#This Row],[Pick]]&lt;=14,DraftData[[#This Row],[Win Shares]]&lt;10),"Yes","No")</f>
        <v>No</v>
      </c>
      <c r="Y21" s="2">
        <f>DraftData[[#This Row],[Win Shares]]/DraftData[[#This Row],[Pick]]</f>
        <v>0</v>
      </c>
      <c r="Z21" s="2">
        <f>DraftData[[#This Row],[Win Shares]]-_xlfn.XLOOKUP(DraftData[[#This Row],[Pick]],'Lookup Tables'!$A$2:$A$31,'Lookup Tables'!$B$2:$B$31)</f>
        <v>-10.391666666666667</v>
      </c>
    </row>
    <row r="22" spans="1:26">
      <c r="A22">
        <v>2005</v>
      </c>
      <c r="B22">
        <v>21</v>
      </c>
      <c r="C22" t="s">
        <v>86</v>
      </c>
      <c r="D22" t="s">
        <v>87</v>
      </c>
      <c r="E22" t="s">
        <v>88</v>
      </c>
      <c r="F22">
        <v>618</v>
      </c>
      <c r="G22">
        <v>13878</v>
      </c>
      <c r="H22">
        <v>6807</v>
      </c>
      <c r="I22">
        <v>1446</v>
      </c>
      <c r="J22">
        <v>1826</v>
      </c>
      <c r="K22">
        <v>0.42299999999999999</v>
      </c>
      <c r="L22">
        <v>0.36</v>
      </c>
      <c r="M22">
        <v>0.79600000000000004</v>
      </c>
      <c r="N22">
        <v>27.8</v>
      </c>
      <c r="O22">
        <v>9.6000000000000002E-2</v>
      </c>
      <c r="P22">
        <v>0.5</v>
      </c>
      <c r="Q22">
        <v>8.6</v>
      </c>
      <c r="R22">
        <v>22.5</v>
      </c>
      <c r="S22">
        <v>11</v>
      </c>
      <c r="T22">
        <v>2.2999999999999998</v>
      </c>
      <c r="U22">
        <v>3</v>
      </c>
      <c r="V22" t="str">
        <f>IF(DraftData[[#This Row],[Pick]]&lt;=5,"Top 5",
IF(DraftData[[#This Row],[Pick]]&lt;=14,"Lottery",
IF(DraftData[[#This Row],[Pick]]&lt;=20,"Mid First","Late First")))</f>
        <v>Late First</v>
      </c>
      <c r="W22" t="str">
        <f>IF(DraftData[[#This Row],[Win Shares]]&gt;=80,"Star",
IF(DraftData[[#This Row],[Win Shares]]&gt;=30,"Starter",
IF(DraftData[[#This Row],[Win Shares]]&gt;=10,"Rotation","Minimal")))</f>
        <v>Rotation</v>
      </c>
      <c r="X22" t="str">
        <f>IF(AND(DraftData[[#This Row],[Pick]]&lt;=14,DraftData[[#This Row],[Win Shares]]&lt;10),"Yes","No")</f>
        <v>No</v>
      </c>
      <c r="Y22" s="2">
        <f>DraftData[[#This Row],[Win Shares]]/DraftData[[#This Row],[Pick]]</f>
        <v>1.3238095238095238</v>
      </c>
      <c r="Z22" s="2">
        <f>DraftData[[#This Row],[Win Shares]]-_xlfn.XLOOKUP(DraftData[[#This Row],[Pick]],'Lookup Tables'!$A$2:$A$31,'Lookup Tables'!$B$2:$B$31)</f>
        <v>7.2999999999999972</v>
      </c>
    </row>
    <row r="23" spans="1:26">
      <c r="A23">
        <v>2005</v>
      </c>
      <c r="B23">
        <v>22</v>
      </c>
      <c r="C23" t="s">
        <v>83</v>
      </c>
      <c r="D23" t="s">
        <v>89</v>
      </c>
      <c r="E23" t="s">
        <v>90</v>
      </c>
      <c r="F23">
        <v>867</v>
      </c>
      <c r="G23">
        <v>24140</v>
      </c>
      <c r="H23">
        <v>9349</v>
      </c>
      <c r="I23">
        <v>2487</v>
      </c>
      <c r="J23">
        <v>3952</v>
      </c>
      <c r="K23">
        <v>0.44</v>
      </c>
      <c r="L23">
        <v>0.34300000000000003</v>
      </c>
      <c r="M23">
        <v>0.85499999999999998</v>
      </c>
      <c r="N23">
        <v>36.799999999999997</v>
      </c>
      <c r="O23">
        <v>7.2999999999999995E-2</v>
      </c>
      <c r="P23">
        <v>-0.9</v>
      </c>
      <c r="Q23">
        <v>6.5</v>
      </c>
      <c r="R23">
        <v>27.8</v>
      </c>
      <c r="S23">
        <v>10.8</v>
      </c>
      <c r="T23">
        <v>2.9</v>
      </c>
      <c r="U23">
        <v>4.5999999999999996</v>
      </c>
      <c r="V23" t="str">
        <f>IF(DraftData[[#This Row],[Pick]]&lt;=5,"Top 5",
IF(DraftData[[#This Row],[Pick]]&lt;=14,"Lottery",
IF(DraftData[[#This Row],[Pick]]&lt;=20,"Mid First","Late First")))</f>
        <v>Late First</v>
      </c>
      <c r="W23" t="str">
        <f>IF(DraftData[[#This Row],[Win Shares]]&gt;=80,"Star",
IF(DraftData[[#This Row],[Win Shares]]&gt;=30,"Starter",
IF(DraftData[[#This Row],[Win Shares]]&gt;=10,"Rotation","Minimal")))</f>
        <v>Starter</v>
      </c>
      <c r="X23" t="str">
        <f>IF(AND(DraftData[[#This Row],[Pick]]&lt;=14,DraftData[[#This Row],[Win Shares]]&lt;10),"Yes","No")</f>
        <v>No</v>
      </c>
      <c r="Y23" s="2">
        <f>DraftData[[#This Row],[Win Shares]]/DraftData[[#This Row],[Pick]]</f>
        <v>1.6727272727272726</v>
      </c>
      <c r="Z23" s="2">
        <f>DraftData[[#This Row],[Win Shares]]-_xlfn.XLOOKUP(DraftData[[#This Row],[Pick]],'Lookup Tables'!$A$2:$A$31,'Lookup Tables'!$B$2:$B$31)</f>
        <v>18.316666666666659</v>
      </c>
    </row>
    <row r="24" spans="1:26">
      <c r="A24">
        <v>2005</v>
      </c>
      <c r="B24">
        <v>23</v>
      </c>
      <c r="C24" t="s">
        <v>91</v>
      </c>
      <c r="D24" t="s">
        <v>92</v>
      </c>
      <c r="E24" t="s">
        <v>93</v>
      </c>
      <c r="F24">
        <v>549</v>
      </c>
      <c r="G24">
        <v>11853</v>
      </c>
      <c r="H24">
        <v>4323</v>
      </c>
      <c r="I24">
        <v>1400</v>
      </c>
      <c r="J24">
        <v>747</v>
      </c>
      <c r="K24">
        <v>0.42699999999999999</v>
      </c>
      <c r="L24">
        <v>0.35699999999999998</v>
      </c>
      <c r="M24">
        <v>0.79900000000000004</v>
      </c>
      <c r="N24">
        <v>18.2</v>
      </c>
      <c r="O24">
        <v>7.3999999999999996E-2</v>
      </c>
      <c r="P24">
        <v>-0.1</v>
      </c>
      <c r="Q24">
        <v>5.7</v>
      </c>
      <c r="R24">
        <v>21.6</v>
      </c>
      <c r="S24">
        <v>7.9</v>
      </c>
      <c r="T24">
        <v>2.6</v>
      </c>
      <c r="U24">
        <v>1.4</v>
      </c>
      <c r="V24" t="str">
        <f>IF(DraftData[[#This Row],[Pick]]&lt;=5,"Top 5",
IF(DraftData[[#This Row],[Pick]]&lt;=14,"Lottery",
IF(DraftData[[#This Row],[Pick]]&lt;=20,"Mid First","Late First")))</f>
        <v>Late First</v>
      </c>
      <c r="W24" t="str">
        <f>IF(DraftData[[#This Row],[Win Shares]]&gt;=80,"Star",
IF(DraftData[[#This Row],[Win Shares]]&gt;=30,"Starter",
IF(DraftData[[#This Row],[Win Shares]]&gt;=10,"Rotation","Minimal")))</f>
        <v>Rotation</v>
      </c>
      <c r="X24" t="str">
        <f>IF(AND(DraftData[[#This Row],[Pick]]&lt;=14,DraftData[[#This Row],[Win Shares]]&lt;10),"Yes","No")</f>
        <v>No</v>
      </c>
      <c r="Y24" s="2">
        <f>DraftData[[#This Row],[Win Shares]]/DraftData[[#This Row],[Pick]]</f>
        <v>0.79130434782608694</v>
      </c>
      <c r="Z24" s="2">
        <f>DraftData[[#This Row],[Win Shares]]-_xlfn.XLOOKUP(DraftData[[#This Row],[Pick]],'Lookup Tables'!$A$2:$A$31,'Lookup Tables'!$B$2:$B$31)</f>
        <v>1.5583333333333336</v>
      </c>
    </row>
    <row r="25" spans="1:26">
      <c r="A25">
        <v>2005</v>
      </c>
      <c r="B25">
        <v>24</v>
      </c>
      <c r="C25" t="s">
        <v>94</v>
      </c>
      <c r="D25" t="s">
        <v>95</v>
      </c>
      <c r="E25" t="s">
        <v>44</v>
      </c>
      <c r="F25">
        <v>348</v>
      </c>
      <c r="G25">
        <v>7797</v>
      </c>
      <c r="H25">
        <v>2842</v>
      </c>
      <c r="I25">
        <v>845</v>
      </c>
      <c r="J25">
        <v>747</v>
      </c>
      <c r="K25">
        <v>0.42299999999999999</v>
      </c>
      <c r="L25">
        <v>0.38800000000000001</v>
      </c>
      <c r="M25">
        <v>0.77300000000000002</v>
      </c>
      <c r="N25">
        <v>14.7</v>
      </c>
      <c r="O25">
        <v>0.09</v>
      </c>
      <c r="P25">
        <v>0.1</v>
      </c>
      <c r="Q25">
        <v>4.2</v>
      </c>
      <c r="R25">
        <v>22.4</v>
      </c>
      <c r="S25">
        <v>8.1999999999999993</v>
      </c>
      <c r="T25">
        <v>2.4</v>
      </c>
      <c r="U25">
        <v>2.1</v>
      </c>
      <c r="V25" t="str">
        <f>IF(DraftData[[#This Row],[Pick]]&lt;=5,"Top 5",
IF(DraftData[[#This Row],[Pick]]&lt;=14,"Lottery",
IF(DraftData[[#This Row],[Pick]]&lt;=20,"Mid First","Late First")))</f>
        <v>Late First</v>
      </c>
      <c r="W25" t="str">
        <f>IF(DraftData[[#This Row],[Win Shares]]&gt;=80,"Star",
IF(DraftData[[#This Row],[Win Shares]]&gt;=30,"Starter",
IF(DraftData[[#This Row],[Win Shares]]&gt;=10,"Rotation","Minimal")))</f>
        <v>Rotation</v>
      </c>
      <c r="X25" t="str">
        <f>IF(AND(DraftData[[#This Row],[Pick]]&lt;=14,DraftData[[#This Row],[Win Shares]]&lt;10),"Yes","No")</f>
        <v>No</v>
      </c>
      <c r="Y25" s="2">
        <f>DraftData[[#This Row],[Win Shares]]/DraftData[[#This Row],[Pick]]</f>
        <v>0.61249999999999993</v>
      </c>
      <c r="Z25" s="2">
        <f>DraftData[[#This Row],[Win Shares]]-_xlfn.XLOOKUP(DraftData[[#This Row],[Pick]],'Lookup Tables'!$A$2:$A$31,'Lookup Tables'!$B$2:$B$31)</f>
        <v>-9.8000000000000007</v>
      </c>
    </row>
    <row r="26" spans="1:26">
      <c r="A26">
        <v>2005</v>
      </c>
      <c r="B26">
        <v>25</v>
      </c>
      <c r="C26" t="s">
        <v>96</v>
      </c>
      <c r="D26" t="s">
        <v>97</v>
      </c>
      <c r="F26">
        <v>473</v>
      </c>
      <c r="G26">
        <v>7262</v>
      </c>
      <c r="H26">
        <v>2202</v>
      </c>
      <c r="I26">
        <v>1836</v>
      </c>
      <c r="J26">
        <v>227</v>
      </c>
      <c r="K26">
        <v>0.46200000000000002</v>
      </c>
      <c r="L26">
        <v>0.154</v>
      </c>
      <c r="M26">
        <v>0.67800000000000005</v>
      </c>
      <c r="N26">
        <v>5.5</v>
      </c>
      <c r="O26">
        <v>3.6999999999999998E-2</v>
      </c>
      <c r="P26">
        <v>-4.5999999999999996</v>
      </c>
      <c r="Q26">
        <v>-4.5999999999999996</v>
      </c>
      <c r="R26">
        <v>15.4</v>
      </c>
      <c r="S26">
        <v>4.7</v>
      </c>
      <c r="T26">
        <v>3.9</v>
      </c>
      <c r="U26">
        <v>0.5</v>
      </c>
      <c r="V26" t="str">
        <f>IF(DraftData[[#This Row],[Pick]]&lt;=5,"Top 5",
IF(DraftData[[#This Row],[Pick]]&lt;=14,"Lottery",
IF(DraftData[[#This Row],[Pick]]&lt;=20,"Mid First","Late First")))</f>
        <v>Late First</v>
      </c>
      <c r="W26" t="str">
        <f>IF(DraftData[[#This Row],[Win Shares]]&gt;=80,"Star",
IF(DraftData[[#This Row],[Win Shares]]&gt;=30,"Starter",
IF(DraftData[[#This Row],[Win Shares]]&gt;=10,"Rotation","Minimal")))</f>
        <v>Minimal</v>
      </c>
      <c r="X26" t="str">
        <f>IF(AND(DraftData[[#This Row],[Pick]]&lt;=14,DraftData[[#This Row],[Win Shares]]&lt;10),"Yes","No")</f>
        <v>No</v>
      </c>
      <c r="Y26" s="2">
        <f>DraftData[[#This Row],[Win Shares]]/DraftData[[#This Row],[Pick]]</f>
        <v>0.22</v>
      </c>
      <c r="Z26" s="2">
        <f>DraftData[[#This Row],[Win Shares]]-_xlfn.XLOOKUP(DraftData[[#This Row],[Pick]],'Lookup Tables'!$A$2:$A$31,'Lookup Tables'!$B$2:$B$31)</f>
        <v>-7.3999999999999986</v>
      </c>
    </row>
    <row r="27" spans="1:26">
      <c r="A27">
        <v>2005</v>
      </c>
      <c r="B27">
        <v>26</v>
      </c>
      <c r="C27" t="s">
        <v>98</v>
      </c>
      <c r="D27" t="s">
        <v>99</v>
      </c>
      <c r="E27" t="s">
        <v>100</v>
      </c>
      <c r="F27">
        <v>618</v>
      </c>
      <c r="G27">
        <v>11379</v>
      </c>
      <c r="H27">
        <v>3481</v>
      </c>
      <c r="I27">
        <v>2576</v>
      </c>
      <c r="J27">
        <v>266</v>
      </c>
      <c r="K27">
        <v>0.495</v>
      </c>
      <c r="L27">
        <v>0</v>
      </c>
      <c r="M27">
        <v>0.56399999999999995</v>
      </c>
      <c r="N27">
        <v>20.3</v>
      </c>
      <c r="O27">
        <v>8.5999999999999993E-2</v>
      </c>
      <c r="P27">
        <v>-2.5</v>
      </c>
      <c r="Q27">
        <v>-1.4</v>
      </c>
      <c r="R27">
        <v>18.399999999999999</v>
      </c>
      <c r="S27">
        <v>5.6</v>
      </c>
      <c r="T27">
        <v>4.2</v>
      </c>
      <c r="U27">
        <v>0.4</v>
      </c>
      <c r="V27" t="str">
        <f>IF(DraftData[[#This Row],[Pick]]&lt;=5,"Top 5",
IF(DraftData[[#This Row],[Pick]]&lt;=14,"Lottery",
IF(DraftData[[#This Row],[Pick]]&lt;=20,"Mid First","Late First")))</f>
        <v>Late First</v>
      </c>
      <c r="W27" t="str">
        <f>IF(DraftData[[#This Row],[Win Shares]]&gt;=80,"Star",
IF(DraftData[[#This Row],[Win Shares]]&gt;=30,"Starter",
IF(DraftData[[#This Row],[Win Shares]]&gt;=10,"Rotation","Minimal")))</f>
        <v>Rotation</v>
      </c>
      <c r="X27" t="str">
        <f>IF(AND(DraftData[[#This Row],[Pick]]&lt;=14,DraftData[[#This Row],[Win Shares]]&lt;10),"Yes","No")</f>
        <v>No</v>
      </c>
      <c r="Y27" s="2">
        <f>DraftData[[#This Row],[Win Shares]]/DraftData[[#This Row],[Pick]]</f>
        <v>0.78076923076923077</v>
      </c>
      <c r="Z27" s="2">
        <f>DraftData[[#This Row],[Win Shares]]-_xlfn.XLOOKUP(DraftData[[#This Row],[Pick]],'Lookup Tables'!$A$2:$A$31,'Lookup Tables'!$B$2:$B$31)</f>
        <v>-0.10000000000000142</v>
      </c>
    </row>
    <row r="28" spans="1:26">
      <c r="A28">
        <v>2005</v>
      </c>
      <c r="B28">
        <v>27</v>
      </c>
      <c r="C28" t="s">
        <v>50</v>
      </c>
      <c r="D28" t="s">
        <v>101</v>
      </c>
      <c r="E28" t="s">
        <v>102</v>
      </c>
      <c r="F28">
        <v>409</v>
      </c>
      <c r="G28">
        <v>8185</v>
      </c>
      <c r="H28">
        <v>3561</v>
      </c>
      <c r="I28">
        <v>1470</v>
      </c>
      <c r="J28">
        <v>321</v>
      </c>
      <c r="K28">
        <v>0.435</v>
      </c>
      <c r="L28">
        <v>0.33500000000000002</v>
      </c>
      <c r="M28">
        <v>0.76300000000000001</v>
      </c>
      <c r="N28">
        <v>13.6</v>
      </c>
      <c r="O28">
        <v>0.08</v>
      </c>
      <c r="P28">
        <v>-2.2999999999999998</v>
      </c>
      <c r="Q28">
        <v>-0.7</v>
      </c>
      <c r="R28">
        <v>20</v>
      </c>
      <c r="S28">
        <v>8.6999999999999993</v>
      </c>
      <c r="T28">
        <v>3.6</v>
      </c>
      <c r="U28">
        <v>0.8</v>
      </c>
      <c r="V28" t="str">
        <f>IF(DraftData[[#This Row],[Pick]]&lt;=5,"Top 5",
IF(DraftData[[#This Row],[Pick]]&lt;=14,"Lottery",
IF(DraftData[[#This Row],[Pick]]&lt;=20,"Mid First","Late First")))</f>
        <v>Late First</v>
      </c>
      <c r="W28" t="str">
        <f>IF(DraftData[[#This Row],[Win Shares]]&gt;=80,"Star",
IF(DraftData[[#This Row],[Win Shares]]&gt;=30,"Starter",
IF(DraftData[[#This Row],[Win Shares]]&gt;=10,"Rotation","Minimal")))</f>
        <v>Rotation</v>
      </c>
      <c r="X28" t="str">
        <f>IF(AND(DraftData[[#This Row],[Pick]]&lt;=14,DraftData[[#This Row],[Win Shares]]&lt;10),"Yes","No")</f>
        <v>No</v>
      </c>
      <c r="Y28" s="2">
        <f>DraftData[[#This Row],[Win Shares]]/DraftData[[#This Row],[Pick]]</f>
        <v>0.50370370370370365</v>
      </c>
      <c r="Z28" s="2">
        <f>DraftData[[#This Row],[Win Shares]]-_xlfn.XLOOKUP(DraftData[[#This Row],[Pick]],'Lookup Tables'!$A$2:$A$31,'Lookup Tables'!$B$2:$B$31)</f>
        <v>-7.5083333333333346</v>
      </c>
    </row>
    <row r="29" spans="1:26">
      <c r="A29">
        <v>2005</v>
      </c>
      <c r="B29">
        <v>28</v>
      </c>
      <c r="C29" t="s">
        <v>103</v>
      </c>
      <c r="D29" t="s">
        <v>104</v>
      </c>
      <c r="F29">
        <v>618</v>
      </c>
      <c r="G29">
        <v>10353</v>
      </c>
      <c r="H29">
        <v>3209</v>
      </c>
      <c r="I29">
        <v>2705</v>
      </c>
      <c r="J29">
        <v>357</v>
      </c>
      <c r="K29">
        <v>0.53300000000000003</v>
      </c>
      <c r="L29">
        <v>0.16</v>
      </c>
      <c r="M29">
        <v>0.61199999999999999</v>
      </c>
      <c r="N29">
        <v>26.1</v>
      </c>
      <c r="O29">
        <v>0.121</v>
      </c>
      <c r="P29">
        <v>-2</v>
      </c>
      <c r="Q29">
        <v>0.1</v>
      </c>
      <c r="R29">
        <v>16.8</v>
      </c>
      <c r="S29">
        <v>5.2</v>
      </c>
      <c r="T29">
        <v>4.4000000000000004</v>
      </c>
      <c r="U29">
        <v>0.6</v>
      </c>
      <c r="V29" t="str">
        <f>IF(DraftData[[#This Row],[Pick]]&lt;=5,"Top 5",
IF(DraftData[[#This Row],[Pick]]&lt;=14,"Lottery",
IF(DraftData[[#This Row],[Pick]]&lt;=20,"Mid First","Late First")))</f>
        <v>Late First</v>
      </c>
      <c r="W29" t="str">
        <f>IF(DraftData[[#This Row],[Win Shares]]&gt;=80,"Star",
IF(DraftData[[#This Row],[Win Shares]]&gt;=30,"Starter",
IF(DraftData[[#This Row],[Win Shares]]&gt;=10,"Rotation","Minimal")))</f>
        <v>Rotation</v>
      </c>
      <c r="X29" t="str">
        <f>IF(AND(DraftData[[#This Row],[Pick]]&lt;=14,DraftData[[#This Row],[Win Shares]]&lt;10),"Yes","No")</f>
        <v>No</v>
      </c>
      <c r="Y29" s="2">
        <f>DraftData[[#This Row],[Win Shares]]/DraftData[[#This Row],[Pick]]</f>
        <v>0.93214285714285716</v>
      </c>
      <c r="Z29" s="2">
        <f>DraftData[[#This Row],[Win Shares]]-_xlfn.XLOOKUP(DraftData[[#This Row],[Pick]],'Lookup Tables'!$A$2:$A$31,'Lookup Tables'!$B$2:$B$31)</f>
        <v>17.454545454545453</v>
      </c>
    </row>
    <row r="30" spans="1:26">
      <c r="A30">
        <v>2005</v>
      </c>
      <c r="B30">
        <v>29</v>
      </c>
      <c r="C30" t="s">
        <v>105</v>
      </c>
      <c r="D30" t="s">
        <v>106</v>
      </c>
      <c r="E30" t="s">
        <v>107</v>
      </c>
      <c r="F30">
        <v>51</v>
      </c>
      <c r="G30">
        <v>507</v>
      </c>
      <c r="H30">
        <v>169</v>
      </c>
      <c r="I30">
        <v>99</v>
      </c>
      <c r="J30">
        <v>11</v>
      </c>
      <c r="K30">
        <v>0.46899999999999997</v>
      </c>
      <c r="M30">
        <v>0.85399999999999998</v>
      </c>
      <c r="N30">
        <v>0.9</v>
      </c>
      <c r="O30">
        <v>8.3000000000000004E-2</v>
      </c>
      <c r="P30">
        <v>-4.4000000000000004</v>
      </c>
      <c r="Q30">
        <v>-0.3</v>
      </c>
      <c r="R30">
        <v>9.9</v>
      </c>
      <c r="S30">
        <v>3.3</v>
      </c>
      <c r="T30">
        <v>1.9</v>
      </c>
      <c r="U30">
        <v>0.2</v>
      </c>
      <c r="V30" t="str">
        <f>IF(DraftData[[#This Row],[Pick]]&lt;=5,"Top 5",
IF(DraftData[[#This Row],[Pick]]&lt;=14,"Lottery",
IF(DraftData[[#This Row],[Pick]]&lt;=20,"Mid First","Late First")))</f>
        <v>Late First</v>
      </c>
      <c r="W30" t="str">
        <f>IF(DraftData[[#This Row],[Win Shares]]&gt;=80,"Star",
IF(DraftData[[#This Row],[Win Shares]]&gt;=30,"Starter",
IF(DraftData[[#This Row],[Win Shares]]&gt;=10,"Rotation","Minimal")))</f>
        <v>Minimal</v>
      </c>
      <c r="X30" t="str">
        <f>IF(AND(DraftData[[#This Row],[Pick]]&lt;=14,DraftData[[#This Row],[Win Shares]]&lt;10),"Yes","No")</f>
        <v>No</v>
      </c>
      <c r="Y30" s="2">
        <f>DraftData[[#This Row],[Win Shares]]/DraftData[[#This Row],[Pick]]</f>
        <v>3.1034482758620689E-2</v>
      </c>
      <c r="Z30" s="2">
        <f>DraftData[[#This Row],[Win Shares]]-_xlfn.XLOOKUP(DraftData[[#This Row],[Pick]],'Lookup Tables'!$A$2:$A$31,'Lookup Tables'!$B$2:$B$31)</f>
        <v>-4.166666666666667</v>
      </c>
    </row>
    <row r="31" spans="1:26">
      <c r="A31">
        <v>2005</v>
      </c>
      <c r="B31">
        <v>30</v>
      </c>
      <c r="C31" t="s">
        <v>55</v>
      </c>
      <c r="D31" t="s">
        <v>108</v>
      </c>
      <c r="E31" t="s">
        <v>109</v>
      </c>
      <c r="F31">
        <v>829</v>
      </c>
      <c r="G31">
        <v>24293</v>
      </c>
      <c r="H31">
        <v>11232</v>
      </c>
      <c r="I31">
        <v>7320</v>
      </c>
      <c r="J31">
        <v>1825</v>
      </c>
      <c r="K31">
        <v>0.53500000000000003</v>
      </c>
      <c r="L31">
        <v>3.4000000000000002E-2</v>
      </c>
      <c r="M31">
        <v>0.77200000000000002</v>
      </c>
      <c r="N31">
        <v>76</v>
      </c>
      <c r="O31">
        <v>0.15</v>
      </c>
      <c r="P31">
        <v>1.1000000000000001</v>
      </c>
      <c r="Q31">
        <v>19.2</v>
      </c>
      <c r="R31">
        <v>29.3</v>
      </c>
      <c r="S31">
        <v>13.5</v>
      </c>
      <c r="T31">
        <v>8.8000000000000007</v>
      </c>
      <c r="U31">
        <v>2.2000000000000002</v>
      </c>
      <c r="V31" t="str">
        <f>IF(DraftData[[#This Row],[Pick]]&lt;=5,"Top 5",
IF(DraftData[[#This Row],[Pick]]&lt;=14,"Lottery",
IF(DraftData[[#This Row],[Pick]]&lt;=20,"Mid First","Late First")))</f>
        <v>Late First</v>
      </c>
      <c r="W31" t="str">
        <f>IF(DraftData[[#This Row],[Win Shares]]&gt;=80,"Star",
IF(DraftData[[#This Row],[Win Shares]]&gt;=30,"Starter",
IF(DraftData[[#This Row],[Win Shares]]&gt;=10,"Rotation","Minimal")))</f>
        <v>Starter</v>
      </c>
      <c r="X31" t="str">
        <f>IF(AND(DraftData[[#This Row],[Pick]]&lt;=14,DraftData[[#This Row],[Win Shares]]&lt;10),"Yes","No")</f>
        <v>No</v>
      </c>
      <c r="Y31" s="2">
        <f>DraftData[[#This Row],[Win Shares]]/DraftData[[#This Row],[Pick]]</f>
        <v>2.5333333333333332</v>
      </c>
      <c r="Z31" s="2">
        <f>DraftData[[#This Row],[Win Shares]]-_xlfn.XLOOKUP(DraftData[[#This Row],[Pick]],'Lookup Tables'!$A$2:$A$31,'Lookup Tables'!$B$2:$B$31)</f>
        <v>55.281818181818181</v>
      </c>
    </row>
    <row r="32" spans="1:26">
      <c r="A32">
        <v>2006</v>
      </c>
      <c r="B32">
        <v>1</v>
      </c>
      <c r="C32" t="s">
        <v>52</v>
      </c>
      <c r="D32" t="s">
        <v>110</v>
      </c>
      <c r="F32">
        <v>550</v>
      </c>
      <c r="G32">
        <v>15806</v>
      </c>
      <c r="H32">
        <v>7873</v>
      </c>
      <c r="I32">
        <v>2541</v>
      </c>
      <c r="J32">
        <v>653</v>
      </c>
      <c r="K32">
        <v>0.439</v>
      </c>
      <c r="L32">
        <v>0.35399999999999998</v>
      </c>
      <c r="M32">
        <v>0.82399999999999995</v>
      </c>
      <c r="N32">
        <v>18.899999999999999</v>
      </c>
      <c r="O32">
        <v>5.7000000000000002E-2</v>
      </c>
      <c r="P32">
        <v>-1.6</v>
      </c>
      <c r="Q32">
        <v>1.5</v>
      </c>
      <c r="R32">
        <v>28.7</v>
      </c>
      <c r="S32">
        <v>14.3</v>
      </c>
      <c r="T32">
        <v>4.5999999999999996</v>
      </c>
      <c r="U32">
        <v>1.2</v>
      </c>
      <c r="V32" t="str">
        <f>IF(DraftData[[#This Row],[Pick]]&lt;=5,"Top 5",
IF(DraftData[[#This Row],[Pick]]&lt;=14,"Lottery",
IF(DraftData[[#This Row],[Pick]]&lt;=20,"Mid First","Late First")))</f>
        <v>Top 5</v>
      </c>
      <c r="W32" t="str">
        <f>IF(DraftData[[#This Row],[Win Shares]]&gt;=80,"Star",
IF(DraftData[[#This Row],[Win Shares]]&gt;=30,"Starter",
IF(DraftData[[#This Row],[Win Shares]]&gt;=10,"Rotation","Minimal")))</f>
        <v>Rotation</v>
      </c>
      <c r="X32" t="str">
        <f>IF(AND(DraftData[[#This Row],[Pick]]&lt;=14,DraftData[[#This Row],[Win Shares]]&lt;10),"Yes","No")</f>
        <v>No</v>
      </c>
      <c r="Y32" s="2">
        <f>DraftData[[#This Row],[Win Shares]]/DraftData[[#This Row],[Pick]]</f>
        <v>18.899999999999999</v>
      </c>
      <c r="Z32" s="2">
        <f>DraftData[[#This Row],[Win Shares]]-_xlfn.XLOOKUP(DraftData[[#This Row],[Pick]],'Lookup Tables'!$A$2:$A$31,'Lookup Tables'!$B$2:$B$31)</f>
        <v>-24.683333333333337</v>
      </c>
    </row>
    <row r="33" spans="1:26">
      <c r="A33">
        <v>2006</v>
      </c>
      <c r="B33">
        <v>2</v>
      </c>
      <c r="C33" t="s">
        <v>111</v>
      </c>
      <c r="D33" t="s">
        <v>112</v>
      </c>
      <c r="E33" t="s">
        <v>113</v>
      </c>
      <c r="F33">
        <v>1068</v>
      </c>
      <c r="G33">
        <v>36086</v>
      </c>
      <c r="H33">
        <v>20488</v>
      </c>
      <c r="I33">
        <v>8702</v>
      </c>
      <c r="J33">
        <v>2067</v>
      </c>
      <c r="K33">
        <v>0.49299999999999999</v>
      </c>
      <c r="L33">
        <v>0.32</v>
      </c>
      <c r="M33">
        <v>0.81200000000000006</v>
      </c>
      <c r="N33">
        <v>115.3</v>
      </c>
      <c r="O33">
        <v>0.153</v>
      </c>
      <c r="P33">
        <v>1.7</v>
      </c>
      <c r="Q33">
        <v>33.299999999999997</v>
      </c>
      <c r="R33">
        <v>33.799999999999997</v>
      </c>
      <c r="S33">
        <v>19.2</v>
      </c>
      <c r="T33">
        <v>8.1</v>
      </c>
      <c r="U33">
        <v>1.9</v>
      </c>
      <c r="V33" t="str">
        <f>IF(DraftData[[#This Row],[Pick]]&lt;=5,"Top 5",
IF(DraftData[[#This Row],[Pick]]&lt;=14,"Lottery",
IF(DraftData[[#This Row],[Pick]]&lt;=20,"Mid First","Late First")))</f>
        <v>Top 5</v>
      </c>
      <c r="W33" t="str">
        <f>IF(DraftData[[#This Row],[Win Shares]]&gt;=80,"Star",
IF(DraftData[[#This Row],[Win Shares]]&gt;=30,"Starter",
IF(DraftData[[#This Row],[Win Shares]]&gt;=10,"Rotation","Minimal")))</f>
        <v>Star</v>
      </c>
      <c r="X33" t="str">
        <f>IF(AND(DraftData[[#This Row],[Pick]]&lt;=14,DraftData[[#This Row],[Win Shares]]&lt;10),"Yes","No")</f>
        <v>No</v>
      </c>
      <c r="Y33" s="2">
        <f>DraftData[[#This Row],[Win Shares]]/DraftData[[#This Row],[Pick]]</f>
        <v>57.65</v>
      </c>
      <c r="Z33" s="2">
        <f>DraftData[[#This Row],[Win Shares]]-_xlfn.XLOOKUP(DraftData[[#This Row],[Pick]],'Lookup Tables'!$A$2:$A$31,'Lookup Tables'!$B$2:$B$31)</f>
        <v>75.508333333333326</v>
      </c>
    </row>
    <row r="34" spans="1:26">
      <c r="A34">
        <v>2006</v>
      </c>
      <c r="B34">
        <v>3</v>
      </c>
      <c r="C34" t="s">
        <v>48</v>
      </c>
      <c r="D34" t="s">
        <v>114</v>
      </c>
      <c r="E34" t="s">
        <v>115</v>
      </c>
      <c r="F34">
        <v>161</v>
      </c>
      <c r="G34">
        <v>3278</v>
      </c>
      <c r="H34">
        <v>1200</v>
      </c>
      <c r="I34">
        <v>342</v>
      </c>
      <c r="J34">
        <v>222</v>
      </c>
      <c r="K34">
        <v>0.373</v>
      </c>
      <c r="L34">
        <v>0.33100000000000002</v>
      </c>
      <c r="M34">
        <v>0.71</v>
      </c>
      <c r="N34">
        <v>-1.4</v>
      </c>
      <c r="O34">
        <v>-2.1000000000000001E-2</v>
      </c>
      <c r="P34">
        <v>-5</v>
      </c>
      <c r="Q34">
        <v>-2.4</v>
      </c>
      <c r="R34">
        <v>20.399999999999999</v>
      </c>
      <c r="S34">
        <v>7.5</v>
      </c>
      <c r="T34">
        <v>2.1</v>
      </c>
      <c r="U34">
        <v>1.4</v>
      </c>
      <c r="V34" t="str">
        <f>IF(DraftData[[#This Row],[Pick]]&lt;=5,"Top 5",
IF(DraftData[[#This Row],[Pick]]&lt;=14,"Lottery",
IF(DraftData[[#This Row],[Pick]]&lt;=20,"Mid First","Late First")))</f>
        <v>Top 5</v>
      </c>
      <c r="W34" t="str">
        <f>IF(DraftData[[#This Row],[Win Shares]]&gt;=80,"Star",
IF(DraftData[[#This Row],[Win Shares]]&gt;=30,"Starter",
IF(DraftData[[#This Row],[Win Shares]]&gt;=10,"Rotation","Minimal")))</f>
        <v>Minimal</v>
      </c>
      <c r="X34" t="str">
        <f>IF(AND(DraftData[[#This Row],[Pick]]&lt;=14,DraftData[[#This Row],[Win Shares]]&lt;10),"Yes","No")</f>
        <v>Yes</v>
      </c>
      <c r="Y34" s="2">
        <f>DraftData[[#This Row],[Win Shares]]/DraftData[[#This Row],[Pick]]</f>
        <v>-0.46666666666666662</v>
      </c>
      <c r="Z34" s="2">
        <f>DraftData[[#This Row],[Win Shares]]-_xlfn.XLOOKUP(DraftData[[#This Row],[Pick]],'Lookup Tables'!$A$2:$A$31,'Lookup Tables'!$B$2:$B$31)</f>
        <v>-52.166666666666671</v>
      </c>
    </row>
    <row r="35" spans="1:26">
      <c r="A35">
        <v>2006</v>
      </c>
      <c r="B35">
        <v>4</v>
      </c>
      <c r="C35" t="s">
        <v>50</v>
      </c>
      <c r="D35" t="s">
        <v>116</v>
      </c>
      <c r="E35" t="s">
        <v>117</v>
      </c>
      <c r="F35">
        <v>402</v>
      </c>
      <c r="G35">
        <v>7932</v>
      </c>
      <c r="H35">
        <v>3093</v>
      </c>
      <c r="I35">
        <v>1938</v>
      </c>
      <c r="J35">
        <v>347</v>
      </c>
      <c r="K35">
        <v>0.438</v>
      </c>
      <c r="L35">
        <v>0.23499999999999999</v>
      </c>
      <c r="M35">
        <v>0.73199999999999998</v>
      </c>
      <c r="N35">
        <v>13</v>
      </c>
      <c r="O35">
        <v>7.8E-2</v>
      </c>
      <c r="P35">
        <v>-1.2</v>
      </c>
      <c r="Q35">
        <v>1.7</v>
      </c>
      <c r="R35">
        <v>19.7</v>
      </c>
      <c r="S35">
        <v>7.7</v>
      </c>
      <c r="T35">
        <v>4.8</v>
      </c>
      <c r="U35">
        <v>0.9</v>
      </c>
      <c r="V35" t="str">
        <f>IF(DraftData[[#This Row],[Pick]]&lt;=5,"Top 5",
IF(DraftData[[#This Row],[Pick]]&lt;=14,"Lottery",
IF(DraftData[[#This Row],[Pick]]&lt;=20,"Mid First","Late First")))</f>
        <v>Top 5</v>
      </c>
      <c r="W35" t="str">
        <f>IF(DraftData[[#This Row],[Win Shares]]&gt;=80,"Star",
IF(DraftData[[#This Row],[Win Shares]]&gt;=30,"Starter",
IF(DraftData[[#This Row],[Win Shares]]&gt;=10,"Rotation","Minimal")))</f>
        <v>Rotation</v>
      </c>
      <c r="X35" t="str">
        <f>IF(AND(DraftData[[#This Row],[Pick]]&lt;=14,DraftData[[#This Row],[Win Shares]]&lt;10),"Yes","No")</f>
        <v>No</v>
      </c>
      <c r="Y35" s="2">
        <f>DraftData[[#This Row],[Win Shares]]/DraftData[[#This Row],[Pick]]</f>
        <v>3.25</v>
      </c>
      <c r="Z35" s="2">
        <f>DraftData[[#This Row],[Win Shares]]-_xlfn.XLOOKUP(DraftData[[#This Row],[Pick]],'Lookup Tables'!$A$2:$A$31,'Lookup Tables'!$B$2:$B$31)</f>
        <v>-35.558333333333337</v>
      </c>
    </row>
    <row r="36" spans="1:26">
      <c r="A36">
        <v>2006</v>
      </c>
      <c r="B36">
        <v>5</v>
      </c>
      <c r="C36" t="s">
        <v>39</v>
      </c>
      <c r="D36" t="s">
        <v>118</v>
      </c>
      <c r="E36" t="s">
        <v>119</v>
      </c>
      <c r="F36">
        <v>361</v>
      </c>
      <c r="G36">
        <v>5586</v>
      </c>
      <c r="H36">
        <v>1618</v>
      </c>
      <c r="I36">
        <v>1562</v>
      </c>
      <c r="J36">
        <v>163</v>
      </c>
      <c r="K36">
        <v>0.46200000000000002</v>
      </c>
      <c r="L36">
        <v>0.222</v>
      </c>
      <c r="M36">
        <v>0.74</v>
      </c>
      <c r="N36">
        <v>9.9</v>
      </c>
      <c r="O36">
        <v>8.5000000000000006E-2</v>
      </c>
      <c r="P36">
        <v>-3</v>
      </c>
      <c r="Q36">
        <v>-1.5</v>
      </c>
      <c r="R36">
        <v>15.5</v>
      </c>
      <c r="S36">
        <v>4.5</v>
      </c>
      <c r="T36">
        <v>4.3</v>
      </c>
      <c r="U36">
        <v>0.5</v>
      </c>
      <c r="V36" t="str">
        <f>IF(DraftData[[#This Row],[Pick]]&lt;=5,"Top 5",
IF(DraftData[[#This Row],[Pick]]&lt;=14,"Lottery",
IF(DraftData[[#This Row],[Pick]]&lt;=20,"Mid First","Late First")))</f>
        <v>Top 5</v>
      </c>
      <c r="W36" t="str">
        <f>IF(DraftData[[#This Row],[Win Shares]]&gt;=80,"Star",
IF(DraftData[[#This Row],[Win Shares]]&gt;=30,"Starter",
IF(DraftData[[#This Row],[Win Shares]]&gt;=10,"Rotation","Minimal")))</f>
        <v>Minimal</v>
      </c>
      <c r="X36" t="str">
        <f>IF(AND(DraftData[[#This Row],[Pick]]&lt;=14,DraftData[[#This Row],[Win Shares]]&lt;10),"Yes","No")</f>
        <v>Yes</v>
      </c>
      <c r="Y36" s="2">
        <f>DraftData[[#This Row],[Win Shares]]/DraftData[[#This Row],[Pick]]</f>
        <v>1.98</v>
      </c>
      <c r="Z36" s="2">
        <f>DraftData[[#This Row],[Win Shares]]-_xlfn.XLOOKUP(DraftData[[#This Row],[Pick]],'Lookup Tables'!$A$2:$A$31,'Lookup Tables'!$B$2:$B$31)</f>
        <v>-21.458333333333336</v>
      </c>
    </row>
    <row r="37" spans="1:26">
      <c r="A37">
        <v>2006</v>
      </c>
      <c r="B37">
        <v>6</v>
      </c>
      <c r="C37" t="s">
        <v>68</v>
      </c>
      <c r="D37" t="s">
        <v>120</v>
      </c>
      <c r="E37" t="s">
        <v>88</v>
      </c>
      <c r="F37">
        <v>326</v>
      </c>
      <c r="G37">
        <v>11561</v>
      </c>
      <c r="H37">
        <v>6136</v>
      </c>
      <c r="I37">
        <v>1388</v>
      </c>
      <c r="J37">
        <v>1517</v>
      </c>
      <c r="K37">
        <v>0.45900000000000002</v>
      </c>
      <c r="L37">
        <v>0.34799999999999998</v>
      </c>
      <c r="M37">
        <v>0.8</v>
      </c>
      <c r="N37">
        <v>37.4</v>
      </c>
      <c r="O37">
        <v>0.155</v>
      </c>
      <c r="P37">
        <v>3.6</v>
      </c>
      <c r="Q37">
        <v>16.3</v>
      </c>
      <c r="R37">
        <v>35.5</v>
      </c>
      <c r="S37">
        <v>18.8</v>
      </c>
      <c r="T37">
        <v>4.3</v>
      </c>
      <c r="U37">
        <v>4.7</v>
      </c>
      <c r="V37" t="str">
        <f>IF(DraftData[[#This Row],[Pick]]&lt;=5,"Top 5",
IF(DraftData[[#This Row],[Pick]]&lt;=14,"Lottery",
IF(DraftData[[#This Row],[Pick]]&lt;=20,"Mid First","Late First")))</f>
        <v>Lottery</v>
      </c>
      <c r="W37" t="str">
        <f>IF(DraftData[[#This Row],[Win Shares]]&gt;=80,"Star",
IF(DraftData[[#This Row],[Win Shares]]&gt;=30,"Starter",
IF(DraftData[[#This Row],[Win Shares]]&gt;=10,"Rotation","Minimal")))</f>
        <v>Starter</v>
      </c>
      <c r="X37" t="str">
        <f>IF(AND(DraftData[[#This Row],[Pick]]&lt;=14,DraftData[[#This Row],[Win Shares]]&lt;10),"Yes","No")</f>
        <v>No</v>
      </c>
      <c r="Y37" s="2">
        <f>DraftData[[#This Row],[Win Shares]]/DraftData[[#This Row],[Pick]]</f>
        <v>6.2333333333333334</v>
      </c>
      <c r="Z37" s="2">
        <f>DraftData[[#This Row],[Win Shares]]-_xlfn.XLOOKUP(DraftData[[#This Row],[Pick]],'Lookup Tables'!$A$2:$A$31,'Lookup Tables'!$B$2:$B$31)</f>
        <v>9.7416666666666636</v>
      </c>
    </row>
    <row r="38" spans="1:26">
      <c r="A38">
        <v>2006</v>
      </c>
      <c r="B38">
        <v>7</v>
      </c>
      <c r="C38" t="s">
        <v>78</v>
      </c>
      <c r="D38" t="s">
        <v>121</v>
      </c>
      <c r="E38" t="s">
        <v>122</v>
      </c>
      <c r="F38">
        <v>752</v>
      </c>
      <c r="G38">
        <v>19279</v>
      </c>
      <c r="H38">
        <v>7729</v>
      </c>
      <c r="I38">
        <v>1686</v>
      </c>
      <c r="J38">
        <v>2112</v>
      </c>
      <c r="K38">
        <v>0.40100000000000002</v>
      </c>
      <c r="L38">
        <v>0.36599999999999999</v>
      </c>
      <c r="M38">
        <v>0.85199999999999998</v>
      </c>
      <c r="N38">
        <v>23.5</v>
      </c>
      <c r="O38">
        <v>5.8000000000000003E-2</v>
      </c>
      <c r="P38">
        <v>-1.2</v>
      </c>
      <c r="Q38">
        <v>3.8</v>
      </c>
      <c r="R38">
        <v>25.6</v>
      </c>
      <c r="S38">
        <v>10.3</v>
      </c>
      <c r="T38">
        <v>2.2000000000000002</v>
      </c>
      <c r="U38">
        <v>2.8</v>
      </c>
      <c r="V38" t="str">
        <f>IF(DraftData[[#This Row],[Pick]]&lt;=5,"Top 5",
IF(DraftData[[#This Row],[Pick]]&lt;=14,"Lottery",
IF(DraftData[[#This Row],[Pick]]&lt;=20,"Mid First","Late First")))</f>
        <v>Lottery</v>
      </c>
      <c r="W38" t="str">
        <f>IF(DraftData[[#This Row],[Win Shares]]&gt;=80,"Star",
IF(DraftData[[#This Row],[Win Shares]]&gt;=30,"Starter",
IF(DraftData[[#This Row],[Win Shares]]&gt;=10,"Rotation","Minimal")))</f>
        <v>Rotation</v>
      </c>
      <c r="X38" t="str">
        <f>IF(AND(DraftData[[#This Row],[Pick]]&lt;=14,DraftData[[#This Row],[Win Shares]]&lt;10),"Yes","No")</f>
        <v>No</v>
      </c>
      <c r="Y38" s="2">
        <f>DraftData[[#This Row],[Win Shares]]/DraftData[[#This Row],[Pick]]</f>
        <v>3.3571428571428572</v>
      </c>
      <c r="Z38" s="2">
        <f>DraftData[[#This Row],[Win Shares]]-_xlfn.XLOOKUP(DraftData[[#This Row],[Pick]],'Lookup Tables'!$A$2:$A$31,'Lookup Tables'!$B$2:$B$31)</f>
        <v>-10.475000000000009</v>
      </c>
    </row>
    <row r="39" spans="1:26">
      <c r="A39">
        <v>2006</v>
      </c>
      <c r="B39">
        <v>8</v>
      </c>
      <c r="C39" t="s">
        <v>94</v>
      </c>
      <c r="D39" t="s">
        <v>123</v>
      </c>
      <c r="E39" t="s">
        <v>54</v>
      </c>
      <c r="F39">
        <v>1044</v>
      </c>
      <c r="G39">
        <v>33406</v>
      </c>
      <c r="H39">
        <v>17215</v>
      </c>
      <c r="I39">
        <v>6040</v>
      </c>
      <c r="J39">
        <v>2206</v>
      </c>
      <c r="K39">
        <v>0.45300000000000001</v>
      </c>
      <c r="L39">
        <v>0.34899999999999998</v>
      </c>
      <c r="M39">
        <v>0.79900000000000004</v>
      </c>
      <c r="N39">
        <v>60.3</v>
      </c>
      <c r="O39">
        <v>8.6999999999999994E-2</v>
      </c>
      <c r="P39">
        <v>0.7</v>
      </c>
      <c r="Q39">
        <v>22.9</v>
      </c>
      <c r="R39">
        <v>32</v>
      </c>
      <c r="S39">
        <v>16.5</v>
      </c>
      <c r="T39">
        <v>5.8</v>
      </c>
      <c r="U39">
        <v>2.1</v>
      </c>
      <c r="V39" t="str">
        <f>IF(DraftData[[#This Row],[Pick]]&lt;=5,"Top 5",
IF(DraftData[[#This Row],[Pick]]&lt;=14,"Lottery",
IF(DraftData[[#This Row],[Pick]]&lt;=20,"Mid First","Late First")))</f>
        <v>Lottery</v>
      </c>
      <c r="W39" t="str">
        <f>IF(DraftData[[#This Row],[Win Shares]]&gt;=80,"Star",
IF(DraftData[[#This Row],[Win Shares]]&gt;=30,"Starter",
IF(DraftData[[#This Row],[Win Shares]]&gt;=10,"Rotation","Minimal")))</f>
        <v>Starter</v>
      </c>
      <c r="X39" t="str">
        <f>IF(AND(DraftData[[#This Row],[Pick]]&lt;=14,DraftData[[#This Row],[Win Shares]]&lt;10),"Yes","No")</f>
        <v>No</v>
      </c>
      <c r="Y39" s="2">
        <f>DraftData[[#This Row],[Win Shares]]/DraftData[[#This Row],[Pick]]</f>
        <v>7.5374999999999996</v>
      </c>
      <c r="Z39" s="2">
        <f>DraftData[[#This Row],[Win Shares]]-_xlfn.XLOOKUP(DraftData[[#This Row],[Pick]],'Lookup Tables'!$A$2:$A$31,'Lookup Tables'!$B$2:$B$31)</f>
        <v>39.141666666666666</v>
      </c>
    </row>
    <row r="40" spans="1:26">
      <c r="A40">
        <v>2006</v>
      </c>
      <c r="B40">
        <v>9</v>
      </c>
      <c r="C40" t="s">
        <v>58</v>
      </c>
      <c r="D40" t="s">
        <v>124</v>
      </c>
      <c r="E40" t="s">
        <v>125</v>
      </c>
      <c r="F40">
        <v>90</v>
      </c>
      <c r="G40">
        <v>524</v>
      </c>
      <c r="H40">
        <v>186</v>
      </c>
      <c r="I40">
        <v>127</v>
      </c>
      <c r="J40">
        <v>25</v>
      </c>
      <c r="K40">
        <v>0.49399999999999999</v>
      </c>
      <c r="L40">
        <v>0</v>
      </c>
      <c r="M40">
        <v>0.58299999999999996</v>
      </c>
      <c r="N40">
        <v>0.5</v>
      </c>
      <c r="O40">
        <v>4.5999999999999999E-2</v>
      </c>
      <c r="P40">
        <v>-4.5999999999999996</v>
      </c>
      <c r="Q40">
        <v>-0.3</v>
      </c>
      <c r="R40">
        <v>5.8</v>
      </c>
      <c r="S40">
        <v>2.1</v>
      </c>
      <c r="T40">
        <v>1.4</v>
      </c>
      <c r="U40">
        <v>0.3</v>
      </c>
      <c r="V40" t="str">
        <f>IF(DraftData[[#This Row],[Pick]]&lt;=5,"Top 5",
IF(DraftData[[#This Row],[Pick]]&lt;=14,"Lottery",
IF(DraftData[[#This Row],[Pick]]&lt;=20,"Mid First","Late First")))</f>
        <v>Lottery</v>
      </c>
      <c r="W40" t="str">
        <f>IF(DraftData[[#This Row],[Win Shares]]&gt;=80,"Star",
IF(DraftData[[#This Row],[Win Shares]]&gt;=30,"Starter",
IF(DraftData[[#This Row],[Win Shares]]&gt;=10,"Rotation","Minimal")))</f>
        <v>Minimal</v>
      </c>
      <c r="X40" t="str">
        <f>IF(AND(DraftData[[#This Row],[Pick]]&lt;=14,DraftData[[#This Row],[Win Shares]]&lt;10),"Yes","No")</f>
        <v>Yes</v>
      </c>
      <c r="Y40" s="2">
        <f>DraftData[[#This Row],[Win Shares]]/DraftData[[#This Row],[Pick]]</f>
        <v>5.5555555555555552E-2</v>
      </c>
      <c r="Z40" s="2">
        <f>DraftData[[#This Row],[Win Shares]]-_xlfn.XLOOKUP(DraftData[[#This Row],[Pick]],'Lookup Tables'!$A$2:$A$31,'Lookup Tables'!$B$2:$B$31)</f>
        <v>-36.891666666666666</v>
      </c>
    </row>
    <row r="41" spans="1:26">
      <c r="A41">
        <v>2006</v>
      </c>
      <c r="B41">
        <v>10</v>
      </c>
      <c r="C41" t="s">
        <v>96</v>
      </c>
      <c r="D41" t="s">
        <v>126</v>
      </c>
      <c r="F41">
        <v>47</v>
      </c>
      <c r="G41">
        <v>260</v>
      </c>
      <c r="H41">
        <v>103</v>
      </c>
      <c r="I41">
        <v>75</v>
      </c>
      <c r="J41">
        <v>1</v>
      </c>
      <c r="K41">
        <v>0.42699999999999999</v>
      </c>
      <c r="M41">
        <v>0.58899999999999997</v>
      </c>
      <c r="N41">
        <v>0.3</v>
      </c>
      <c r="O41">
        <v>5.1999999999999998E-2</v>
      </c>
      <c r="P41">
        <v>-5.0999999999999996</v>
      </c>
      <c r="Q41">
        <v>-0.2</v>
      </c>
      <c r="R41">
        <v>5.5</v>
      </c>
      <c r="S41">
        <v>2.2000000000000002</v>
      </c>
      <c r="T41">
        <v>1.6</v>
      </c>
      <c r="U41">
        <v>0</v>
      </c>
      <c r="V41" t="str">
        <f>IF(DraftData[[#This Row],[Pick]]&lt;=5,"Top 5",
IF(DraftData[[#This Row],[Pick]]&lt;=14,"Lottery",
IF(DraftData[[#This Row],[Pick]]&lt;=20,"Mid First","Late First")))</f>
        <v>Lottery</v>
      </c>
      <c r="W41" t="str">
        <f>IF(DraftData[[#This Row],[Win Shares]]&gt;=80,"Star",
IF(DraftData[[#This Row],[Win Shares]]&gt;=30,"Starter",
IF(DraftData[[#This Row],[Win Shares]]&gt;=10,"Rotation","Minimal")))</f>
        <v>Minimal</v>
      </c>
      <c r="X41" t="str">
        <f>IF(AND(DraftData[[#This Row],[Pick]]&lt;=14,DraftData[[#This Row],[Win Shares]]&lt;10),"Yes","No")</f>
        <v>Yes</v>
      </c>
      <c r="Y41" s="2">
        <f>DraftData[[#This Row],[Win Shares]]/DraftData[[#This Row],[Pick]]</f>
        <v>0.03</v>
      </c>
      <c r="Z41" s="2">
        <f>DraftData[[#This Row],[Win Shares]]-_xlfn.XLOOKUP(DraftData[[#This Row],[Pick]],'Lookup Tables'!$A$2:$A$31,'Lookup Tables'!$B$2:$B$31)</f>
        <v>-26.549999999999997</v>
      </c>
    </row>
    <row r="42" spans="1:26">
      <c r="A42">
        <v>2006</v>
      </c>
      <c r="B42">
        <v>11</v>
      </c>
      <c r="C42" t="s">
        <v>63</v>
      </c>
      <c r="D42" t="s">
        <v>127</v>
      </c>
      <c r="E42" t="s">
        <v>119</v>
      </c>
      <c r="F42">
        <v>940</v>
      </c>
      <c r="G42">
        <v>23964</v>
      </c>
      <c r="H42">
        <v>12028</v>
      </c>
      <c r="I42">
        <v>1903</v>
      </c>
      <c r="J42">
        <v>1862</v>
      </c>
      <c r="K42">
        <v>0.44700000000000001</v>
      </c>
      <c r="L42">
        <v>0.41499999999999998</v>
      </c>
      <c r="M42">
        <v>0.89200000000000002</v>
      </c>
      <c r="N42">
        <v>63.7</v>
      </c>
      <c r="O42">
        <v>0.128</v>
      </c>
      <c r="P42">
        <v>0.6</v>
      </c>
      <c r="Q42">
        <v>16</v>
      </c>
      <c r="R42">
        <v>25.5</v>
      </c>
      <c r="S42">
        <v>12.8</v>
      </c>
      <c r="T42">
        <v>2</v>
      </c>
      <c r="U42">
        <v>2</v>
      </c>
      <c r="V42" t="str">
        <f>IF(DraftData[[#This Row],[Pick]]&lt;=5,"Top 5",
IF(DraftData[[#This Row],[Pick]]&lt;=14,"Lottery",
IF(DraftData[[#This Row],[Pick]]&lt;=20,"Mid First","Late First")))</f>
        <v>Lottery</v>
      </c>
      <c r="W42" t="str">
        <f>IF(DraftData[[#This Row],[Win Shares]]&gt;=80,"Star",
IF(DraftData[[#This Row],[Win Shares]]&gt;=30,"Starter",
IF(DraftData[[#This Row],[Win Shares]]&gt;=10,"Rotation","Minimal")))</f>
        <v>Starter</v>
      </c>
      <c r="X42" t="str">
        <f>IF(AND(DraftData[[#This Row],[Pick]]&lt;=14,DraftData[[#This Row],[Win Shares]]&lt;10),"Yes","No")</f>
        <v>No</v>
      </c>
      <c r="Y42" s="2">
        <f>DraftData[[#This Row],[Win Shares]]/DraftData[[#This Row],[Pick]]</f>
        <v>5.790909090909091</v>
      </c>
      <c r="Z42" s="2">
        <f>DraftData[[#This Row],[Win Shares]]-_xlfn.XLOOKUP(DraftData[[#This Row],[Pick]],'Lookup Tables'!$A$2:$A$31,'Lookup Tables'!$B$2:$B$31)</f>
        <v>41</v>
      </c>
    </row>
    <row r="43" spans="1:26">
      <c r="A43">
        <v>2006</v>
      </c>
      <c r="B43">
        <v>12</v>
      </c>
      <c r="C43" t="s">
        <v>48</v>
      </c>
      <c r="D43" t="s">
        <v>128</v>
      </c>
      <c r="E43" t="s">
        <v>54</v>
      </c>
      <c r="F43">
        <v>292</v>
      </c>
      <c r="G43">
        <v>3378</v>
      </c>
      <c r="H43">
        <v>880</v>
      </c>
      <c r="I43">
        <v>766</v>
      </c>
      <c r="J43">
        <v>102</v>
      </c>
      <c r="K43">
        <v>0.501</v>
      </c>
      <c r="L43">
        <v>0.28599999999999998</v>
      </c>
      <c r="M43">
        <v>0.58199999999999996</v>
      </c>
      <c r="N43">
        <v>3.9</v>
      </c>
      <c r="O43">
        <v>5.5E-2</v>
      </c>
      <c r="P43">
        <v>-4.0999999999999996</v>
      </c>
      <c r="Q43">
        <v>-1.8</v>
      </c>
      <c r="R43">
        <v>11.6</v>
      </c>
      <c r="S43">
        <v>3</v>
      </c>
      <c r="T43">
        <v>2.6</v>
      </c>
      <c r="U43">
        <v>0.3</v>
      </c>
      <c r="V43" t="str">
        <f>IF(DraftData[[#This Row],[Pick]]&lt;=5,"Top 5",
IF(DraftData[[#This Row],[Pick]]&lt;=14,"Lottery",
IF(DraftData[[#This Row],[Pick]]&lt;=20,"Mid First","Late First")))</f>
        <v>Lottery</v>
      </c>
      <c r="W43" t="str">
        <f>IF(DraftData[[#This Row],[Win Shares]]&gt;=80,"Star",
IF(DraftData[[#This Row],[Win Shares]]&gt;=30,"Starter",
IF(DraftData[[#This Row],[Win Shares]]&gt;=10,"Rotation","Minimal")))</f>
        <v>Minimal</v>
      </c>
      <c r="X43" t="str">
        <f>IF(AND(DraftData[[#This Row],[Pick]]&lt;=14,DraftData[[#This Row],[Win Shares]]&lt;10),"Yes","No")</f>
        <v>Yes</v>
      </c>
      <c r="Y43" s="2">
        <f>DraftData[[#This Row],[Win Shares]]/DraftData[[#This Row],[Pick]]</f>
        <v>0.32500000000000001</v>
      </c>
      <c r="Z43" s="2">
        <f>DraftData[[#This Row],[Win Shares]]-_xlfn.XLOOKUP(DraftData[[#This Row],[Pick]],'Lookup Tables'!$A$2:$A$31,'Lookup Tables'!$B$2:$B$31)</f>
        <v>-17.416666666666668</v>
      </c>
    </row>
    <row r="44" spans="1:26">
      <c r="A44">
        <v>2006</v>
      </c>
      <c r="B44">
        <v>13</v>
      </c>
      <c r="C44" t="s">
        <v>129</v>
      </c>
      <c r="D44" t="s">
        <v>130</v>
      </c>
      <c r="F44">
        <v>869</v>
      </c>
      <c r="G44">
        <v>19062</v>
      </c>
      <c r="H44">
        <v>4994</v>
      </c>
      <c r="I44">
        <v>3252</v>
      </c>
      <c r="J44">
        <v>1196</v>
      </c>
      <c r="K44">
        <v>0.44900000000000001</v>
      </c>
      <c r="L44">
        <v>0.34899999999999998</v>
      </c>
      <c r="M44">
        <v>0.73199999999999998</v>
      </c>
      <c r="N44">
        <v>39.299999999999997</v>
      </c>
      <c r="O44">
        <v>9.9000000000000005E-2</v>
      </c>
      <c r="P44">
        <v>0.6</v>
      </c>
      <c r="Q44">
        <v>12.4</v>
      </c>
      <c r="R44">
        <v>21.9</v>
      </c>
      <c r="S44">
        <v>5.7</v>
      </c>
      <c r="T44">
        <v>3.7</v>
      </c>
      <c r="U44">
        <v>1.4</v>
      </c>
      <c r="V44" t="str">
        <f>IF(DraftData[[#This Row],[Pick]]&lt;=5,"Top 5",
IF(DraftData[[#This Row],[Pick]]&lt;=14,"Lottery",
IF(DraftData[[#This Row],[Pick]]&lt;=20,"Mid First","Late First")))</f>
        <v>Lottery</v>
      </c>
      <c r="W44" t="str">
        <f>IF(DraftData[[#This Row],[Win Shares]]&gt;=80,"Star",
IF(DraftData[[#This Row],[Win Shares]]&gt;=30,"Starter",
IF(DraftData[[#This Row],[Win Shares]]&gt;=10,"Rotation","Minimal")))</f>
        <v>Starter</v>
      </c>
      <c r="X44" t="str">
        <f>IF(AND(DraftData[[#This Row],[Pick]]&lt;=14,DraftData[[#This Row],[Win Shares]]&lt;10),"Yes","No")</f>
        <v>No</v>
      </c>
      <c r="Y44" s="2">
        <f>DraftData[[#This Row],[Win Shares]]/DraftData[[#This Row],[Pick]]</f>
        <v>3.023076923076923</v>
      </c>
      <c r="Z44" s="2">
        <f>DraftData[[#This Row],[Win Shares]]-_xlfn.XLOOKUP(DraftData[[#This Row],[Pick]],'Lookup Tables'!$A$2:$A$31,'Lookup Tables'!$B$2:$B$31)</f>
        <v>19.966666666666665</v>
      </c>
    </row>
    <row r="45" spans="1:26">
      <c r="A45">
        <v>2006</v>
      </c>
      <c r="B45">
        <v>14</v>
      </c>
      <c r="C45" t="s">
        <v>42</v>
      </c>
      <c r="D45" t="s">
        <v>131</v>
      </c>
      <c r="E45" t="s">
        <v>132</v>
      </c>
      <c r="F45">
        <v>502</v>
      </c>
      <c r="G45">
        <v>11539</v>
      </c>
      <c r="H45">
        <v>3940</v>
      </c>
      <c r="I45">
        <v>1427</v>
      </c>
      <c r="J45">
        <v>828</v>
      </c>
      <c r="K45">
        <v>0.49</v>
      </c>
      <c r="L45">
        <v>0.254</v>
      </c>
      <c r="M45">
        <v>0.67500000000000004</v>
      </c>
      <c r="N45">
        <v>30.4</v>
      </c>
      <c r="O45">
        <v>0.127</v>
      </c>
      <c r="P45">
        <v>1.6</v>
      </c>
      <c r="Q45">
        <v>10.6</v>
      </c>
      <c r="R45">
        <v>23</v>
      </c>
      <c r="S45">
        <v>7.8</v>
      </c>
      <c r="T45">
        <v>2.8</v>
      </c>
      <c r="U45">
        <v>1.6</v>
      </c>
      <c r="V45" t="str">
        <f>IF(DraftData[[#This Row],[Pick]]&lt;=5,"Top 5",
IF(DraftData[[#This Row],[Pick]]&lt;=14,"Lottery",
IF(DraftData[[#This Row],[Pick]]&lt;=20,"Mid First","Late First")))</f>
        <v>Lottery</v>
      </c>
      <c r="W45" t="str">
        <f>IF(DraftData[[#This Row],[Win Shares]]&gt;=80,"Star",
IF(DraftData[[#This Row],[Win Shares]]&gt;=30,"Starter",
IF(DraftData[[#This Row],[Win Shares]]&gt;=10,"Rotation","Minimal")))</f>
        <v>Starter</v>
      </c>
      <c r="X45" t="str">
        <f>IF(AND(DraftData[[#This Row],[Pick]]&lt;=14,DraftData[[#This Row],[Win Shares]]&lt;10),"Yes","No")</f>
        <v>No</v>
      </c>
      <c r="Y45" s="2">
        <f>DraftData[[#This Row],[Win Shares]]/DraftData[[#This Row],[Pick]]</f>
        <v>2.1714285714285713</v>
      </c>
      <c r="Z45" s="2">
        <f>DraftData[[#This Row],[Win Shares]]-_xlfn.XLOOKUP(DraftData[[#This Row],[Pick]],'Lookup Tables'!$A$2:$A$31,'Lookup Tables'!$B$2:$B$31)</f>
        <v>15.65</v>
      </c>
    </row>
    <row r="46" spans="1:26">
      <c r="A46">
        <v>2006</v>
      </c>
      <c r="B46">
        <v>15</v>
      </c>
      <c r="C46" t="s">
        <v>48</v>
      </c>
      <c r="D46" t="s">
        <v>133</v>
      </c>
      <c r="E46" t="s">
        <v>85</v>
      </c>
      <c r="F46">
        <v>75</v>
      </c>
      <c r="G46">
        <v>705</v>
      </c>
      <c r="H46">
        <v>163</v>
      </c>
      <c r="I46">
        <v>141</v>
      </c>
      <c r="J46">
        <v>14</v>
      </c>
      <c r="K46">
        <v>0.40899999999999997</v>
      </c>
      <c r="M46">
        <v>0.39</v>
      </c>
      <c r="N46">
        <v>0.1</v>
      </c>
      <c r="O46">
        <v>5.0000000000000001E-3</v>
      </c>
      <c r="P46">
        <v>-5</v>
      </c>
      <c r="Q46">
        <v>-0.5</v>
      </c>
      <c r="R46">
        <v>9.4</v>
      </c>
      <c r="S46">
        <v>2.2000000000000002</v>
      </c>
      <c r="T46">
        <v>1.9</v>
      </c>
      <c r="U46">
        <v>0.2</v>
      </c>
      <c r="V46" t="str">
        <f>IF(DraftData[[#This Row],[Pick]]&lt;=5,"Top 5",
IF(DraftData[[#This Row],[Pick]]&lt;=14,"Lottery",
IF(DraftData[[#This Row],[Pick]]&lt;=20,"Mid First","Late First")))</f>
        <v>Mid First</v>
      </c>
      <c r="W46" t="str">
        <f>IF(DraftData[[#This Row],[Win Shares]]&gt;=80,"Star",
IF(DraftData[[#This Row],[Win Shares]]&gt;=30,"Starter",
IF(DraftData[[#This Row],[Win Shares]]&gt;=10,"Rotation","Minimal")))</f>
        <v>Minimal</v>
      </c>
      <c r="X46" t="str">
        <f>IF(AND(DraftData[[#This Row],[Pick]]&lt;=14,DraftData[[#This Row],[Win Shares]]&lt;10),"Yes","No")</f>
        <v>No</v>
      </c>
      <c r="Y46" s="2">
        <f>DraftData[[#This Row],[Win Shares]]/DraftData[[#This Row],[Pick]]</f>
        <v>6.6666666666666671E-3</v>
      </c>
      <c r="Z46" s="2">
        <f>DraftData[[#This Row],[Win Shares]]-_xlfn.XLOOKUP(DraftData[[#This Row],[Pick]],'Lookup Tables'!$A$2:$A$31,'Lookup Tables'!$B$2:$B$31)</f>
        <v>-25.68333333333333</v>
      </c>
    </row>
    <row r="47" spans="1:26">
      <c r="A47">
        <v>2006</v>
      </c>
      <c r="B47">
        <v>16</v>
      </c>
      <c r="C47" t="s">
        <v>111</v>
      </c>
      <c r="D47" t="s">
        <v>134</v>
      </c>
      <c r="E47" t="s">
        <v>135</v>
      </c>
      <c r="F47">
        <v>299</v>
      </c>
      <c r="G47">
        <v>4600</v>
      </c>
      <c r="H47">
        <v>1778</v>
      </c>
      <c r="I47">
        <v>588</v>
      </c>
      <c r="J47">
        <v>132</v>
      </c>
      <c r="K47">
        <v>0.42199999999999999</v>
      </c>
      <c r="L47">
        <v>0.33800000000000002</v>
      </c>
      <c r="M47">
        <v>0.70399999999999996</v>
      </c>
      <c r="N47">
        <v>6.2</v>
      </c>
      <c r="O47">
        <v>6.4000000000000001E-2</v>
      </c>
      <c r="P47">
        <v>-1.6</v>
      </c>
      <c r="Q47">
        <v>0.5</v>
      </c>
      <c r="R47">
        <v>15.4</v>
      </c>
      <c r="S47">
        <v>5.9</v>
      </c>
      <c r="T47">
        <v>2</v>
      </c>
      <c r="U47">
        <v>0.4</v>
      </c>
      <c r="V47" t="str">
        <f>IF(DraftData[[#This Row],[Pick]]&lt;=5,"Top 5",
IF(DraftData[[#This Row],[Pick]]&lt;=14,"Lottery",
IF(DraftData[[#This Row],[Pick]]&lt;=20,"Mid First","Late First")))</f>
        <v>Mid First</v>
      </c>
      <c r="W47" t="str">
        <f>IF(DraftData[[#This Row],[Win Shares]]&gt;=80,"Star",
IF(DraftData[[#This Row],[Win Shares]]&gt;=30,"Starter",
IF(DraftData[[#This Row],[Win Shares]]&gt;=10,"Rotation","Minimal")))</f>
        <v>Minimal</v>
      </c>
      <c r="X47" t="str">
        <f>IF(AND(DraftData[[#This Row],[Pick]]&lt;=14,DraftData[[#This Row],[Win Shares]]&lt;10),"Yes","No")</f>
        <v>No</v>
      </c>
      <c r="Y47" s="2">
        <f>DraftData[[#This Row],[Win Shares]]/DraftData[[#This Row],[Pick]]</f>
        <v>0.38750000000000001</v>
      </c>
      <c r="Z47" s="2">
        <f>DraftData[[#This Row],[Win Shares]]-_xlfn.XLOOKUP(DraftData[[#This Row],[Pick]],'Lookup Tables'!$A$2:$A$31,'Lookup Tables'!$B$2:$B$31)</f>
        <v>-10.783333333333335</v>
      </c>
    </row>
    <row r="48" spans="1:26">
      <c r="A48">
        <v>2006</v>
      </c>
      <c r="B48">
        <v>17</v>
      </c>
      <c r="C48" t="s">
        <v>75</v>
      </c>
      <c r="D48" t="s">
        <v>136</v>
      </c>
      <c r="E48" t="s">
        <v>135</v>
      </c>
      <c r="F48">
        <v>314</v>
      </c>
      <c r="G48">
        <v>5368</v>
      </c>
      <c r="H48">
        <v>1769</v>
      </c>
      <c r="I48">
        <v>945</v>
      </c>
      <c r="J48">
        <v>220</v>
      </c>
      <c r="K48">
        <v>0.40300000000000002</v>
      </c>
      <c r="L48">
        <v>0.33900000000000002</v>
      </c>
      <c r="M48">
        <v>0.755</v>
      </c>
      <c r="N48">
        <v>6.7</v>
      </c>
      <c r="O48">
        <v>0.06</v>
      </c>
      <c r="P48">
        <v>-2.2000000000000002</v>
      </c>
      <c r="Q48">
        <v>-0.3</v>
      </c>
      <c r="R48">
        <v>17.100000000000001</v>
      </c>
      <c r="S48">
        <v>5.6</v>
      </c>
      <c r="T48">
        <v>3</v>
      </c>
      <c r="U48">
        <v>0.7</v>
      </c>
      <c r="V48" t="str">
        <f>IF(DraftData[[#This Row],[Pick]]&lt;=5,"Top 5",
IF(DraftData[[#This Row],[Pick]]&lt;=14,"Lottery",
IF(DraftData[[#This Row],[Pick]]&lt;=20,"Mid First","Late First")))</f>
        <v>Mid First</v>
      </c>
      <c r="W48" t="str">
        <f>IF(DraftData[[#This Row],[Win Shares]]&gt;=80,"Star",
IF(DraftData[[#This Row],[Win Shares]]&gt;=30,"Starter",
IF(DraftData[[#This Row],[Win Shares]]&gt;=10,"Rotation","Minimal")))</f>
        <v>Minimal</v>
      </c>
      <c r="X48" t="str">
        <f>IF(AND(DraftData[[#This Row],[Pick]]&lt;=14,DraftData[[#This Row],[Win Shares]]&lt;10),"Yes","No")</f>
        <v>No</v>
      </c>
      <c r="Y48" s="2">
        <f>DraftData[[#This Row],[Win Shares]]/DraftData[[#This Row],[Pick]]</f>
        <v>0.39411764705882352</v>
      </c>
      <c r="Z48" s="2">
        <f>DraftData[[#This Row],[Win Shares]]-_xlfn.XLOOKUP(DraftData[[#This Row],[Pick]],'Lookup Tables'!$A$2:$A$31,'Lookup Tables'!$B$2:$B$31)</f>
        <v>-10.616666666666667</v>
      </c>
    </row>
    <row r="49" spans="1:26">
      <c r="A49">
        <v>2006</v>
      </c>
      <c r="B49">
        <v>18</v>
      </c>
      <c r="C49" t="s">
        <v>137</v>
      </c>
      <c r="D49" t="s">
        <v>138</v>
      </c>
      <c r="F49">
        <v>111</v>
      </c>
      <c r="G49">
        <v>1044</v>
      </c>
      <c r="H49">
        <v>438</v>
      </c>
      <c r="I49">
        <v>266</v>
      </c>
      <c r="J49">
        <v>20</v>
      </c>
      <c r="K49">
        <v>0.38600000000000001</v>
      </c>
      <c r="L49">
        <v>0.28999999999999998</v>
      </c>
      <c r="M49">
        <v>0.79300000000000004</v>
      </c>
      <c r="N49">
        <v>0.5</v>
      </c>
      <c r="O49">
        <v>2.5000000000000001E-2</v>
      </c>
      <c r="P49">
        <v>-4.8</v>
      </c>
      <c r="Q49">
        <v>-0.7</v>
      </c>
      <c r="R49">
        <v>9.4</v>
      </c>
      <c r="S49">
        <v>3.9</v>
      </c>
      <c r="T49">
        <v>2.4</v>
      </c>
      <c r="U49">
        <v>0.2</v>
      </c>
      <c r="V49" t="str">
        <f>IF(DraftData[[#This Row],[Pick]]&lt;=5,"Top 5",
IF(DraftData[[#This Row],[Pick]]&lt;=14,"Lottery",
IF(DraftData[[#This Row],[Pick]]&lt;=20,"Mid First","Late First")))</f>
        <v>Mid First</v>
      </c>
      <c r="W49" t="str">
        <f>IF(DraftData[[#This Row],[Win Shares]]&gt;=80,"Star",
IF(DraftData[[#This Row],[Win Shares]]&gt;=30,"Starter",
IF(DraftData[[#This Row],[Win Shares]]&gt;=10,"Rotation","Minimal")))</f>
        <v>Minimal</v>
      </c>
      <c r="X49" t="str">
        <f>IF(AND(DraftData[[#This Row],[Pick]]&lt;=14,DraftData[[#This Row],[Win Shares]]&lt;10),"Yes","No")</f>
        <v>No</v>
      </c>
      <c r="Y49" s="2">
        <f>DraftData[[#This Row],[Win Shares]]/DraftData[[#This Row],[Pick]]</f>
        <v>2.7777777777777776E-2</v>
      </c>
      <c r="Z49" s="2">
        <f>DraftData[[#This Row],[Win Shares]]-_xlfn.XLOOKUP(DraftData[[#This Row],[Pick]],'Lookup Tables'!$A$2:$A$31,'Lookup Tables'!$B$2:$B$31)</f>
        <v>-16.808333333333334</v>
      </c>
    </row>
    <row r="50" spans="1:26">
      <c r="A50">
        <v>2006</v>
      </c>
      <c r="B50">
        <v>19</v>
      </c>
      <c r="C50" t="s">
        <v>91</v>
      </c>
      <c r="D50" t="s">
        <v>139</v>
      </c>
      <c r="E50" t="s">
        <v>140</v>
      </c>
      <c r="F50">
        <v>143</v>
      </c>
      <c r="G50">
        <v>1535</v>
      </c>
      <c r="H50">
        <v>588</v>
      </c>
      <c r="I50">
        <v>152</v>
      </c>
      <c r="J50">
        <v>93</v>
      </c>
      <c r="K50">
        <v>0.38900000000000001</v>
      </c>
      <c r="L50">
        <v>0.312</v>
      </c>
      <c r="M50">
        <v>0.88400000000000001</v>
      </c>
      <c r="N50">
        <v>0</v>
      </c>
      <c r="O50">
        <v>0</v>
      </c>
      <c r="P50">
        <v>-3.5</v>
      </c>
      <c r="Q50">
        <v>-0.6</v>
      </c>
      <c r="R50">
        <v>10.7</v>
      </c>
      <c r="S50">
        <v>4.0999999999999996</v>
      </c>
      <c r="T50">
        <v>1.1000000000000001</v>
      </c>
      <c r="U50">
        <v>0.7</v>
      </c>
      <c r="V50" t="str">
        <f>IF(DraftData[[#This Row],[Pick]]&lt;=5,"Top 5",
IF(DraftData[[#This Row],[Pick]]&lt;=14,"Lottery",
IF(DraftData[[#This Row],[Pick]]&lt;=20,"Mid First","Late First")))</f>
        <v>Mid First</v>
      </c>
      <c r="W50" t="str">
        <f>IF(DraftData[[#This Row],[Win Shares]]&gt;=80,"Star",
IF(DraftData[[#This Row],[Win Shares]]&gt;=30,"Starter",
IF(DraftData[[#This Row],[Win Shares]]&gt;=10,"Rotation","Minimal")))</f>
        <v>Minimal</v>
      </c>
      <c r="X50" t="str">
        <f>IF(AND(DraftData[[#This Row],[Pick]]&lt;=14,DraftData[[#This Row],[Win Shares]]&lt;10),"Yes","No")</f>
        <v>No</v>
      </c>
      <c r="Y50" s="2">
        <f>DraftData[[#This Row],[Win Shares]]/DraftData[[#This Row],[Pick]]</f>
        <v>0</v>
      </c>
      <c r="Z50" s="2">
        <f>DraftData[[#This Row],[Win Shares]]-_xlfn.XLOOKUP(DraftData[[#This Row],[Pick]],'Lookup Tables'!$A$2:$A$31,'Lookup Tables'!$B$2:$B$31)</f>
        <v>-17.575000000000003</v>
      </c>
    </row>
    <row r="51" spans="1:26">
      <c r="A51">
        <v>2006</v>
      </c>
      <c r="B51">
        <v>20</v>
      </c>
      <c r="C51" t="s">
        <v>55</v>
      </c>
      <c r="D51" t="s">
        <v>141</v>
      </c>
      <c r="E51" t="s">
        <v>142</v>
      </c>
      <c r="F51">
        <v>221</v>
      </c>
      <c r="G51">
        <v>3064</v>
      </c>
      <c r="H51">
        <v>894</v>
      </c>
      <c r="I51">
        <v>769</v>
      </c>
      <c r="J51">
        <v>132</v>
      </c>
      <c r="K51">
        <v>0.51</v>
      </c>
      <c r="L51">
        <v>0.17199999999999999</v>
      </c>
      <c r="M51">
        <v>0.54200000000000004</v>
      </c>
      <c r="N51">
        <v>7.2</v>
      </c>
      <c r="O51">
        <v>0.113</v>
      </c>
      <c r="P51">
        <v>0.1</v>
      </c>
      <c r="Q51">
        <v>1.6</v>
      </c>
      <c r="R51">
        <v>13.9</v>
      </c>
      <c r="S51">
        <v>4</v>
      </c>
      <c r="T51">
        <v>3.5</v>
      </c>
      <c r="U51">
        <v>0.6</v>
      </c>
      <c r="V51" t="str">
        <f>IF(DraftData[[#This Row],[Pick]]&lt;=5,"Top 5",
IF(DraftData[[#This Row],[Pick]]&lt;=14,"Lottery",
IF(DraftData[[#This Row],[Pick]]&lt;=20,"Mid First","Late First")))</f>
        <v>Mid First</v>
      </c>
      <c r="W51" t="str">
        <f>IF(DraftData[[#This Row],[Win Shares]]&gt;=80,"Star",
IF(DraftData[[#This Row],[Win Shares]]&gt;=30,"Starter",
IF(DraftData[[#This Row],[Win Shares]]&gt;=10,"Rotation","Minimal")))</f>
        <v>Minimal</v>
      </c>
      <c r="X51" t="str">
        <f>IF(AND(DraftData[[#This Row],[Pick]]&lt;=14,DraftData[[#This Row],[Win Shares]]&lt;10),"Yes","No")</f>
        <v>No</v>
      </c>
      <c r="Y51" s="2">
        <f>DraftData[[#This Row],[Win Shares]]/DraftData[[#This Row],[Pick]]</f>
        <v>0.36</v>
      </c>
      <c r="Z51" s="2">
        <f>DraftData[[#This Row],[Win Shares]]-_xlfn.XLOOKUP(DraftData[[#This Row],[Pick]],'Lookup Tables'!$A$2:$A$31,'Lookup Tables'!$B$2:$B$31)</f>
        <v>-3.1916666666666673</v>
      </c>
    </row>
    <row r="52" spans="1:26">
      <c r="A52">
        <v>2006</v>
      </c>
      <c r="B52">
        <v>21</v>
      </c>
      <c r="C52" t="s">
        <v>86</v>
      </c>
      <c r="D52" t="s">
        <v>143</v>
      </c>
      <c r="E52" t="s">
        <v>144</v>
      </c>
      <c r="F52">
        <v>949</v>
      </c>
      <c r="G52">
        <v>28440</v>
      </c>
      <c r="H52">
        <v>9299</v>
      </c>
      <c r="I52">
        <v>4335</v>
      </c>
      <c r="J52">
        <v>7542</v>
      </c>
      <c r="K52">
        <v>0.45600000000000002</v>
      </c>
      <c r="L52">
        <v>0.32300000000000001</v>
      </c>
      <c r="M52">
        <v>0.61199999999999999</v>
      </c>
      <c r="N52">
        <v>61.5</v>
      </c>
      <c r="O52">
        <v>0.104</v>
      </c>
      <c r="P52">
        <v>1.2</v>
      </c>
      <c r="Q52">
        <v>23.2</v>
      </c>
      <c r="R52">
        <v>30</v>
      </c>
      <c r="S52">
        <v>9.8000000000000007</v>
      </c>
      <c r="T52">
        <v>4.5999999999999996</v>
      </c>
      <c r="U52">
        <v>7.9</v>
      </c>
      <c r="V52" t="str">
        <f>IF(DraftData[[#This Row],[Pick]]&lt;=5,"Top 5",
IF(DraftData[[#This Row],[Pick]]&lt;=14,"Lottery",
IF(DraftData[[#This Row],[Pick]]&lt;=20,"Mid First","Late First")))</f>
        <v>Late First</v>
      </c>
      <c r="W52" t="str">
        <f>IF(DraftData[[#This Row],[Win Shares]]&gt;=80,"Star",
IF(DraftData[[#This Row],[Win Shares]]&gt;=30,"Starter",
IF(DraftData[[#This Row],[Win Shares]]&gt;=10,"Rotation","Minimal")))</f>
        <v>Starter</v>
      </c>
      <c r="X52" t="str">
        <f>IF(AND(DraftData[[#This Row],[Pick]]&lt;=14,DraftData[[#This Row],[Win Shares]]&lt;10),"Yes","No")</f>
        <v>No</v>
      </c>
      <c r="Y52" s="2">
        <f>DraftData[[#This Row],[Win Shares]]/DraftData[[#This Row],[Pick]]</f>
        <v>2.9285714285714284</v>
      </c>
      <c r="Z52" s="2">
        <f>DraftData[[#This Row],[Win Shares]]-_xlfn.XLOOKUP(DraftData[[#This Row],[Pick]],'Lookup Tables'!$A$2:$A$31,'Lookup Tables'!$B$2:$B$31)</f>
        <v>41</v>
      </c>
    </row>
    <row r="53" spans="1:26">
      <c r="A53">
        <v>2006</v>
      </c>
      <c r="B53">
        <v>22</v>
      </c>
      <c r="C53" t="s">
        <v>70</v>
      </c>
      <c r="D53" t="s">
        <v>145</v>
      </c>
      <c r="E53" t="s">
        <v>54</v>
      </c>
      <c r="F53">
        <v>203</v>
      </c>
      <c r="G53">
        <v>3095</v>
      </c>
      <c r="H53">
        <v>1128</v>
      </c>
      <c r="I53">
        <v>361</v>
      </c>
      <c r="J53">
        <v>574</v>
      </c>
      <c r="K53">
        <v>0.38600000000000001</v>
      </c>
      <c r="L53">
        <v>0.32100000000000001</v>
      </c>
      <c r="M53">
        <v>0.76700000000000002</v>
      </c>
      <c r="N53">
        <v>0</v>
      </c>
      <c r="O53">
        <v>-1E-3</v>
      </c>
      <c r="P53">
        <v>-3.3</v>
      </c>
      <c r="Q53">
        <v>-1</v>
      </c>
      <c r="R53">
        <v>15.2</v>
      </c>
      <c r="S53">
        <v>5.6</v>
      </c>
      <c r="T53">
        <v>1.8</v>
      </c>
      <c r="U53">
        <v>2.8</v>
      </c>
      <c r="V53" t="str">
        <f>IF(DraftData[[#This Row],[Pick]]&lt;=5,"Top 5",
IF(DraftData[[#This Row],[Pick]]&lt;=14,"Lottery",
IF(DraftData[[#This Row],[Pick]]&lt;=20,"Mid First","Late First")))</f>
        <v>Late First</v>
      </c>
      <c r="W53" t="str">
        <f>IF(DraftData[[#This Row],[Win Shares]]&gt;=80,"Star",
IF(DraftData[[#This Row],[Win Shares]]&gt;=30,"Starter",
IF(DraftData[[#This Row],[Win Shares]]&gt;=10,"Rotation","Minimal")))</f>
        <v>Minimal</v>
      </c>
      <c r="X53" t="str">
        <f>IF(AND(DraftData[[#This Row],[Pick]]&lt;=14,DraftData[[#This Row],[Win Shares]]&lt;10),"Yes","No")</f>
        <v>No</v>
      </c>
      <c r="Y53" s="2">
        <f>DraftData[[#This Row],[Win Shares]]/DraftData[[#This Row],[Pick]]</f>
        <v>0</v>
      </c>
      <c r="Z53" s="2">
        <f>DraftData[[#This Row],[Win Shares]]-_xlfn.XLOOKUP(DraftData[[#This Row],[Pick]],'Lookup Tables'!$A$2:$A$31,'Lookup Tables'!$B$2:$B$31)</f>
        <v>-18.483333333333338</v>
      </c>
    </row>
    <row r="54" spans="1:26">
      <c r="A54">
        <v>2006</v>
      </c>
      <c r="B54">
        <v>23</v>
      </c>
      <c r="C54" t="s">
        <v>70</v>
      </c>
      <c r="D54" t="s">
        <v>146</v>
      </c>
      <c r="E54" t="s">
        <v>54</v>
      </c>
      <c r="F54">
        <v>256</v>
      </c>
      <c r="G54">
        <v>4482</v>
      </c>
      <c r="H54">
        <v>1340</v>
      </c>
      <c r="I54">
        <v>1258</v>
      </c>
      <c r="J54">
        <v>125</v>
      </c>
      <c r="K54">
        <v>0.54400000000000004</v>
      </c>
      <c r="M54">
        <v>0.44500000000000001</v>
      </c>
      <c r="N54">
        <v>9.1</v>
      </c>
      <c r="O54">
        <v>9.7000000000000003E-2</v>
      </c>
      <c r="P54">
        <v>-2</v>
      </c>
      <c r="Q54">
        <v>0</v>
      </c>
      <c r="R54">
        <v>17.5</v>
      </c>
      <c r="S54">
        <v>5.2</v>
      </c>
      <c r="T54">
        <v>4.9000000000000004</v>
      </c>
      <c r="U54">
        <v>0.5</v>
      </c>
      <c r="V54" t="str">
        <f>IF(DraftData[[#This Row],[Pick]]&lt;=5,"Top 5",
IF(DraftData[[#This Row],[Pick]]&lt;=14,"Lottery",
IF(DraftData[[#This Row],[Pick]]&lt;=20,"Mid First","Late First")))</f>
        <v>Late First</v>
      </c>
      <c r="W54" t="str">
        <f>IF(DraftData[[#This Row],[Win Shares]]&gt;=80,"Star",
IF(DraftData[[#This Row],[Win Shares]]&gt;=30,"Starter",
IF(DraftData[[#This Row],[Win Shares]]&gt;=10,"Rotation","Minimal")))</f>
        <v>Minimal</v>
      </c>
      <c r="X54" t="str">
        <f>IF(AND(DraftData[[#This Row],[Pick]]&lt;=14,DraftData[[#This Row],[Win Shares]]&lt;10),"Yes","No")</f>
        <v>No</v>
      </c>
      <c r="Y54" s="2">
        <f>DraftData[[#This Row],[Win Shares]]/DraftData[[#This Row],[Pick]]</f>
        <v>0.39565217391304347</v>
      </c>
      <c r="Z54" s="2">
        <f>DraftData[[#This Row],[Win Shares]]-_xlfn.XLOOKUP(DraftData[[#This Row],[Pick]],'Lookup Tables'!$A$2:$A$31,'Lookup Tables'!$B$2:$B$31)</f>
        <v>-7.5416666666666661</v>
      </c>
    </row>
    <row r="55" spans="1:26">
      <c r="A55">
        <v>2006</v>
      </c>
      <c r="B55">
        <v>24</v>
      </c>
      <c r="C55" t="s">
        <v>80</v>
      </c>
      <c r="D55" t="s">
        <v>147</v>
      </c>
      <c r="E55" t="s">
        <v>122</v>
      </c>
      <c r="F55">
        <v>1006</v>
      </c>
      <c r="G55">
        <v>32057</v>
      </c>
      <c r="H55">
        <v>14882</v>
      </c>
      <c r="I55">
        <v>4403</v>
      </c>
      <c r="J55">
        <v>6359</v>
      </c>
      <c r="K55">
        <v>0.42399999999999999</v>
      </c>
      <c r="L55">
        <v>0.36699999999999999</v>
      </c>
      <c r="M55">
        <v>0.81299999999999994</v>
      </c>
      <c r="N55">
        <v>102.5</v>
      </c>
      <c r="O55">
        <v>0.154</v>
      </c>
      <c r="P55">
        <v>3.1</v>
      </c>
      <c r="Q55">
        <v>41.1</v>
      </c>
      <c r="R55">
        <v>31.9</v>
      </c>
      <c r="S55">
        <v>14.8</v>
      </c>
      <c r="T55">
        <v>4.4000000000000004</v>
      </c>
      <c r="U55">
        <v>6.3</v>
      </c>
      <c r="V55" t="str">
        <f>IF(DraftData[[#This Row],[Pick]]&lt;=5,"Top 5",
IF(DraftData[[#This Row],[Pick]]&lt;=14,"Lottery",
IF(DraftData[[#This Row],[Pick]]&lt;=20,"Mid First","Late First")))</f>
        <v>Late First</v>
      </c>
      <c r="W55" t="str">
        <f>IF(DraftData[[#This Row],[Win Shares]]&gt;=80,"Star",
IF(DraftData[[#This Row],[Win Shares]]&gt;=30,"Starter",
IF(DraftData[[#This Row],[Win Shares]]&gt;=10,"Rotation","Minimal")))</f>
        <v>Star</v>
      </c>
      <c r="X55" t="str">
        <f>IF(AND(DraftData[[#This Row],[Pick]]&lt;=14,DraftData[[#This Row],[Win Shares]]&lt;10),"Yes","No")</f>
        <v>No</v>
      </c>
      <c r="Y55" s="2">
        <f>DraftData[[#This Row],[Win Shares]]/DraftData[[#This Row],[Pick]]</f>
        <v>4.270833333333333</v>
      </c>
      <c r="Z55" s="2">
        <f>DraftData[[#This Row],[Win Shares]]-_xlfn.XLOOKUP(DraftData[[#This Row],[Pick]],'Lookup Tables'!$A$2:$A$31,'Lookup Tables'!$B$2:$B$31)</f>
        <v>78</v>
      </c>
    </row>
    <row r="56" spans="1:26">
      <c r="A56">
        <v>2006</v>
      </c>
      <c r="B56">
        <v>25</v>
      </c>
      <c r="C56" t="s">
        <v>148</v>
      </c>
      <c r="D56" t="s">
        <v>149</v>
      </c>
      <c r="E56" t="s">
        <v>150</v>
      </c>
      <c r="F56">
        <v>408</v>
      </c>
      <c r="G56">
        <v>7329</v>
      </c>
      <c r="H56">
        <v>3118</v>
      </c>
      <c r="I56">
        <v>760</v>
      </c>
      <c r="J56">
        <v>458</v>
      </c>
      <c r="K56">
        <v>0.42</v>
      </c>
      <c r="L56">
        <v>0.33200000000000002</v>
      </c>
      <c r="M56">
        <v>0.80700000000000005</v>
      </c>
      <c r="N56">
        <v>9.1999999999999993</v>
      </c>
      <c r="O56">
        <v>0.06</v>
      </c>
      <c r="P56">
        <v>-1.5</v>
      </c>
      <c r="Q56">
        <v>1</v>
      </c>
      <c r="R56">
        <v>18</v>
      </c>
      <c r="S56">
        <v>7.6</v>
      </c>
      <c r="T56">
        <v>1.9</v>
      </c>
      <c r="U56">
        <v>1.1000000000000001</v>
      </c>
      <c r="V56" t="str">
        <f>IF(DraftData[[#This Row],[Pick]]&lt;=5,"Top 5",
IF(DraftData[[#This Row],[Pick]]&lt;=14,"Lottery",
IF(DraftData[[#This Row],[Pick]]&lt;=20,"Mid First","Late First")))</f>
        <v>Late First</v>
      </c>
      <c r="W56" t="str">
        <f>IF(DraftData[[#This Row],[Win Shares]]&gt;=80,"Star",
IF(DraftData[[#This Row],[Win Shares]]&gt;=30,"Starter",
IF(DraftData[[#This Row],[Win Shares]]&gt;=10,"Rotation","Minimal")))</f>
        <v>Minimal</v>
      </c>
      <c r="X56" t="str">
        <f>IF(AND(DraftData[[#This Row],[Pick]]&lt;=14,DraftData[[#This Row],[Win Shares]]&lt;10),"Yes","No")</f>
        <v>No</v>
      </c>
      <c r="Y56" s="2">
        <f>DraftData[[#This Row],[Win Shares]]/DraftData[[#This Row],[Pick]]</f>
        <v>0.36799999999999999</v>
      </c>
      <c r="Z56" s="2">
        <f>DraftData[[#This Row],[Win Shares]]-_xlfn.XLOOKUP(DraftData[[#This Row],[Pick]],'Lookup Tables'!$A$2:$A$31,'Lookup Tables'!$B$2:$B$31)</f>
        <v>-3.6999999999999993</v>
      </c>
    </row>
    <row r="57" spans="1:26">
      <c r="A57">
        <v>2006</v>
      </c>
      <c r="B57">
        <v>26</v>
      </c>
      <c r="C57" t="s">
        <v>61</v>
      </c>
      <c r="D57" t="s">
        <v>151</v>
      </c>
      <c r="E57" t="s">
        <v>152</v>
      </c>
      <c r="F57">
        <v>504</v>
      </c>
      <c r="G57">
        <v>9840</v>
      </c>
      <c r="H57">
        <v>3888</v>
      </c>
      <c r="I57">
        <v>958</v>
      </c>
      <c r="J57">
        <v>1453</v>
      </c>
      <c r="K57">
        <v>0.42299999999999999</v>
      </c>
      <c r="L57">
        <v>0.374</v>
      </c>
      <c r="M57">
        <v>0.73899999999999999</v>
      </c>
      <c r="N57">
        <v>13.9</v>
      </c>
      <c r="O57">
        <v>6.8000000000000005E-2</v>
      </c>
      <c r="P57">
        <v>-0.5</v>
      </c>
      <c r="Q57">
        <v>3.7</v>
      </c>
      <c r="R57">
        <v>19.5</v>
      </c>
      <c r="S57">
        <v>7.7</v>
      </c>
      <c r="T57">
        <v>1.9</v>
      </c>
      <c r="U57">
        <v>2.9</v>
      </c>
      <c r="V57" t="str">
        <f>IF(DraftData[[#This Row],[Pick]]&lt;=5,"Top 5",
IF(DraftData[[#This Row],[Pick]]&lt;=14,"Lottery",
IF(DraftData[[#This Row],[Pick]]&lt;=20,"Mid First","Late First")))</f>
        <v>Late First</v>
      </c>
      <c r="W57" t="str">
        <f>IF(DraftData[[#This Row],[Win Shares]]&gt;=80,"Star",
IF(DraftData[[#This Row],[Win Shares]]&gt;=30,"Starter",
IF(DraftData[[#This Row],[Win Shares]]&gt;=10,"Rotation","Minimal")))</f>
        <v>Rotation</v>
      </c>
      <c r="X57" t="str">
        <f>IF(AND(DraftData[[#This Row],[Pick]]&lt;=14,DraftData[[#This Row],[Win Shares]]&lt;10),"Yes","No")</f>
        <v>No</v>
      </c>
      <c r="Y57" s="2">
        <f>DraftData[[#This Row],[Win Shares]]/DraftData[[#This Row],[Pick]]</f>
        <v>0.5346153846153846</v>
      </c>
      <c r="Z57" s="2">
        <f>DraftData[[#This Row],[Win Shares]]-_xlfn.XLOOKUP(DraftData[[#This Row],[Pick]],'Lookup Tables'!$A$2:$A$31,'Lookup Tables'!$B$2:$B$31)</f>
        <v>-6.5000000000000018</v>
      </c>
    </row>
    <row r="58" spans="1:26">
      <c r="A58">
        <v>2006</v>
      </c>
      <c r="B58">
        <v>27</v>
      </c>
      <c r="C58" t="s">
        <v>86</v>
      </c>
      <c r="D58" t="s">
        <v>153</v>
      </c>
      <c r="F58">
        <v>353</v>
      </c>
      <c r="G58">
        <v>5281</v>
      </c>
      <c r="H58">
        <v>1747</v>
      </c>
      <c r="I58">
        <v>525</v>
      </c>
      <c r="J58">
        <v>1183</v>
      </c>
      <c r="K58">
        <v>0.40899999999999997</v>
      </c>
      <c r="L58">
        <v>0.33700000000000002</v>
      </c>
      <c r="M58">
        <v>0.73899999999999999</v>
      </c>
      <c r="N58">
        <v>4.3</v>
      </c>
      <c r="O58">
        <v>3.9E-2</v>
      </c>
      <c r="P58">
        <v>-2</v>
      </c>
      <c r="Q58">
        <v>0.1</v>
      </c>
      <c r="R58">
        <v>15</v>
      </c>
      <c r="S58">
        <v>4.9000000000000004</v>
      </c>
      <c r="T58">
        <v>1.5</v>
      </c>
      <c r="U58">
        <v>3.4</v>
      </c>
      <c r="V58" t="str">
        <f>IF(DraftData[[#This Row],[Pick]]&lt;=5,"Top 5",
IF(DraftData[[#This Row],[Pick]]&lt;=14,"Lottery",
IF(DraftData[[#This Row],[Pick]]&lt;=20,"Mid First","Late First")))</f>
        <v>Late First</v>
      </c>
      <c r="W58" t="str">
        <f>IF(DraftData[[#This Row],[Win Shares]]&gt;=80,"Star",
IF(DraftData[[#This Row],[Win Shares]]&gt;=30,"Starter",
IF(DraftData[[#This Row],[Win Shares]]&gt;=10,"Rotation","Minimal")))</f>
        <v>Minimal</v>
      </c>
      <c r="X58" t="str">
        <f>IF(AND(DraftData[[#This Row],[Pick]]&lt;=14,DraftData[[#This Row],[Win Shares]]&lt;10),"Yes","No")</f>
        <v>No</v>
      </c>
      <c r="Y58" s="2">
        <f>DraftData[[#This Row],[Win Shares]]/DraftData[[#This Row],[Pick]]</f>
        <v>0.15925925925925924</v>
      </c>
      <c r="Z58" s="2">
        <f>DraftData[[#This Row],[Win Shares]]-_xlfn.XLOOKUP(DraftData[[#This Row],[Pick]],'Lookup Tables'!$A$2:$A$31,'Lookup Tables'!$B$2:$B$31)</f>
        <v>-16.808333333333334</v>
      </c>
    </row>
    <row r="59" spans="1:26">
      <c r="A59">
        <v>2006</v>
      </c>
      <c r="B59">
        <v>28</v>
      </c>
      <c r="C59" t="s">
        <v>154</v>
      </c>
      <c r="D59" t="s">
        <v>155</v>
      </c>
      <c r="E59" t="s">
        <v>150</v>
      </c>
      <c r="F59">
        <v>82</v>
      </c>
      <c r="G59">
        <v>505</v>
      </c>
      <c r="H59">
        <v>169</v>
      </c>
      <c r="I59">
        <v>46</v>
      </c>
      <c r="J59">
        <v>19</v>
      </c>
      <c r="K59">
        <v>0.33900000000000002</v>
      </c>
      <c r="L59">
        <v>0.25</v>
      </c>
      <c r="M59">
        <v>0.56599999999999995</v>
      </c>
      <c r="N59">
        <v>-0.9</v>
      </c>
      <c r="O59">
        <v>-8.8999999999999996E-2</v>
      </c>
      <c r="P59">
        <v>-9.4</v>
      </c>
      <c r="Q59">
        <v>-0.9</v>
      </c>
      <c r="R59">
        <v>6.2</v>
      </c>
      <c r="S59">
        <v>2.1</v>
      </c>
      <c r="T59">
        <v>0.6</v>
      </c>
      <c r="U59">
        <v>0.2</v>
      </c>
      <c r="V59" t="str">
        <f>IF(DraftData[[#This Row],[Pick]]&lt;=5,"Top 5",
IF(DraftData[[#This Row],[Pick]]&lt;=14,"Lottery",
IF(DraftData[[#This Row],[Pick]]&lt;=20,"Mid First","Late First")))</f>
        <v>Late First</v>
      </c>
      <c r="W59" t="str">
        <f>IF(DraftData[[#This Row],[Win Shares]]&gt;=80,"Star",
IF(DraftData[[#This Row],[Win Shares]]&gt;=30,"Starter",
IF(DraftData[[#This Row],[Win Shares]]&gt;=10,"Rotation","Minimal")))</f>
        <v>Minimal</v>
      </c>
      <c r="X59" t="str">
        <f>IF(AND(DraftData[[#This Row],[Pick]]&lt;=14,DraftData[[#This Row],[Win Shares]]&lt;10),"Yes","No")</f>
        <v>No</v>
      </c>
      <c r="Y59" s="2">
        <f>DraftData[[#This Row],[Win Shares]]/DraftData[[#This Row],[Pick]]</f>
        <v>-3.2142857142857147E-2</v>
      </c>
      <c r="Z59" s="2">
        <f>DraftData[[#This Row],[Win Shares]]-_xlfn.XLOOKUP(DraftData[[#This Row],[Pick]],'Lookup Tables'!$A$2:$A$31,'Lookup Tables'!$B$2:$B$31)</f>
        <v>-9.5454545454545467</v>
      </c>
    </row>
    <row r="60" spans="1:26">
      <c r="A60">
        <v>2006</v>
      </c>
      <c r="B60">
        <v>29</v>
      </c>
      <c r="C60" t="s">
        <v>55</v>
      </c>
      <c r="D60" t="s">
        <v>156</v>
      </c>
      <c r="E60" t="s">
        <v>157</v>
      </c>
      <c r="F60">
        <v>189</v>
      </c>
      <c r="G60">
        <v>2771</v>
      </c>
      <c r="H60">
        <v>742</v>
      </c>
      <c r="I60">
        <v>336</v>
      </c>
      <c r="J60">
        <v>327</v>
      </c>
      <c r="K60">
        <v>0.38</v>
      </c>
      <c r="L60">
        <v>0.29899999999999999</v>
      </c>
      <c r="M60">
        <v>0.59899999999999998</v>
      </c>
      <c r="N60">
        <v>-1.6</v>
      </c>
      <c r="O60">
        <v>-2.7E-2</v>
      </c>
      <c r="P60">
        <v>-4.4000000000000004</v>
      </c>
      <c r="Q60">
        <v>-1.7</v>
      </c>
      <c r="R60">
        <v>14.7</v>
      </c>
      <c r="S60">
        <v>3.9</v>
      </c>
      <c r="T60">
        <v>1.8</v>
      </c>
      <c r="U60">
        <v>1.7</v>
      </c>
      <c r="V60" t="str">
        <f>IF(DraftData[[#This Row],[Pick]]&lt;=5,"Top 5",
IF(DraftData[[#This Row],[Pick]]&lt;=14,"Lottery",
IF(DraftData[[#This Row],[Pick]]&lt;=20,"Mid First","Late First")))</f>
        <v>Late First</v>
      </c>
      <c r="W60" t="str">
        <f>IF(DraftData[[#This Row],[Win Shares]]&gt;=80,"Star",
IF(DraftData[[#This Row],[Win Shares]]&gt;=30,"Starter",
IF(DraftData[[#This Row],[Win Shares]]&gt;=10,"Rotation","Minimal")))</f>
        <v>Minimal</v>
      </c>
      <c r="X60" t="str">
        <f>IF(AND(DraftData[[#This Row],[Pick]]&lt;=14,DraftData[[#This Row],[Win Shares]]&lt;10),"Yes","No")</f>
        <v>No</v>
      </c>
      <c r="Y60" s="2">
        <f>DraftData[[#This Row],[Win Shares]]/DraftData[[#This Row],[Pick]]</f>
        <v>-5.5172413793103454E-2</v>
      </c>
      <c r="Z60" s="2">
        <f>DraftData[[#This Row],[Win Shares]]-_xlfn.XLOOKUP(DraftData[[#This Row],[Pick]],'Lookup Tables'!$A$2:$A$31,'Lookup Tables'!$B$2:$B$31)</f>
        <v>-6.6666666666666679</v>
      </c>
    </row>
    <row r="61" spans="1:26">
      <c r="A61">
        <v>2006</v>
      </c>
      <c r="B61">
        <v>30</v>
      </c>
      <c r="C61" t="s">
        <v>50</v>
      </c>
      <c r="D61" t="s">
        <v>158</v>
      </c>
      <c r="F61">
        <v>151</v>
      </c>
      <c r="G61">
        <v>1821</v>
      </c>
      <c r="H61">
        <v>477</v>
      </c>
      <c r="I61">
        <v>518</v>
      </c>
      <c r="J61">
        <v>65</v>
      </c>
      <c r="K61">
        <v>0.45900000000000002</v>
      </c>
      <c r="L61">
        <v>0</v>
      </c>
      <c r="M61">
        <v>0.72799999999999998</v>
      </c>
      <c r="N61">
        <v>3.2</v>
      </c>
      <c r="O61">
        <v>8.4000000000000005E-2</v>
      </c>
      <c r="P61">
        <v>-3.3</v>
      </c>
      <c r="Q61">
        <v>-0.6</v>
      </c>
      <c r="R61">
        <v>12.1</v>
      </c>
      <c r="S61">
        <v>3.2</v>
      </c>
      <c r="T61">
        <v>3.4</v>
      </c>
      <c r="U61">
        <v>0.4</v>
      </c>
      <c r="V61" t="str">
        <f>IF(DraftData[[#This Row],[Pick]]&lt;=5,"Top 5",
IF(DraftData[[#This Row],[Pick]]&lt;=14,"Lottery",
IF(DraftData[[#This Row],[Pick]]&lt;=20,"Mid First","Late First")))</f>
        <v>Late First</v>
      </c>
      <c r="W61" t="str">
        <f>IF(DraftData[[#This Row],[Win Shares]]&gt;=80,"Star",
IF(DraftData[[#This Row],[Win Shares]]&gt;=30,"Starter",
IF(DraftData[[#This Row],[Win Shares]]&gt;=10,"Rotation","Minimal")))</f>
        <v>Minimal</v>
      </c>
      <c r="X61" t="str">
        <f>IF(AND(DraftData[[#This Row],[Pick]]&lt;=14,DraftData[[#This Row],[Win Shares]]&lt;10),"Yes","No")</f>
        <v>No</v>
      </c>
      <c r="Y61" s="2">
        <f>DraftData[[#This Row],[Win Shares]]/DraftData[[#This Row],[Pick]]</f>
        <v>0.10666666666666667</v>
      </c>
      <c r="Z61" s="2">
        <f>DraftData[[#This Row],[Win Shares]]-_xlfn.XLOOKUP(DraftData[[#This Row],[Pick]],'Lookup Tables'!$A$2:$A$31,'Lookup Tables'!$B$2:$B$31)</f>
        <v>-17.518181818181816</v>
      </c>
    </row>
    <row r="62" spans="1:26">
      <c r="A62">
        <v>2007</v>
      </c>
      <c r="B62">
        <v>1</v>
      </c>
      <c r="C62" t="s">
        <v>50</v>
      </c>
      <c r="D62" t="s">
        <v>159</v>
      </c>
      <c r="E62" t="s">
        <v>160</v>
      </c>
      <c r="F62">
        <v>105</v>
      </c>
      <c r="G62">
        <v>2028</v>
      </c>
      <c r="H62">
        <v>840</v>
      </c>
      <c r="I62">
        <v>656</v>
      </c>
      <c r="J62">
        <v>51</v>
      </c>
      <c r="K62">
        <v>0.57399999999999995</v>
      </c>
      <c r="M62">
        <v>0.65800000000000003</v>
      </c>
      <c r="N62">
        <v>7.3</v>
      </c>
      <c r="O62">
        <v>0.17399999999999999</v>
      </c>
      <c r="P62">
        <v>-0.4</v>
      </c>
      <c r="Q62">
        <v>0.8</v>
      </c>
      <c r="R62">
        <v>19.3</v>
      </c>
      <c r="S62">
        <v>8</v>
      </c>
      <c r="T62">
        <v>6.2</v>
      </c>
      <c r="U62">
        <v>0.5</v>
      </c>
      <c r="V62" t="str">
        <f>IF(DraftData[[#This Row],[Pick]]&lt;=5,"Top 5",
IF(DraftData[[#This Row],[Pick]]&lt;=14,"Lottery",
IF(DraftData[[#This Row],[Pick]]&lt;=20,"Mid First","Late First")))</f>
        <v>Top 5</v>
      </c>
      <c r="W62" t="str">
        <f>IF(DraftData[[#This Row],[Win Shares]]&gt;=80,"Star",
IF(DraftData[[#This Row],[Win Shares]]&gt;=30,"Starter",
IF(DraftData[[#This Row],[Win Shares]]&gt;=10,"Rotation","Minimal")))</f>
        <v>Minimal</v>
      </c>
      <c r="X62" t="str">
        <f>IF(AND(DraftData[[#This Row],[Pick]]&lt;=14,DraftData[[#This Row],[Win Shares]]&lt;10),"Yes","No")</f>
        <v>Yes</v>
      </c>
      <c r="Y62" s="2">
        <f>DraftData[[#This Row],[Win Shares]]/DraftData[[#This Row],[Pick]]</f>
        <v>7.3</v>
      </c>
      <c r="Z62" s="2">
        <f>DraftData[[#This Row],[Win Shares]]-_xlfn.XLOOKUP(DraftData[[#This Row],[Pick]],'Lookup Tables'!$A$2:$A$31,'Lookup Tables'!$B$2:$B$31)</f>
        <v>-36.283333333333339</v>
      </c>
    </row>
    <row r="63" spans="1:26">
      <c r="A63">
        <v>2007</v>
      </c>
      <c r="B63">
        <v>2</v>
      </c>
      <c r="C63" t="s">
        <v>96</v>
      </c>
      <c r="D63" t="s">
        <v>161</v>
      </c>
      <c r="E63" t="s">
        <v>113</v>
      </c>
      <c r="F63">
        <v>920</v>
      </c>
      <c r="G63">
        <v>33775</v>
      </c>
      <c r="H63">
        <v>24936</v>
      </c>
      <c r="I63">
        <v>6506</v>
      </c>
      <c r="J63">
        <v>3888</v>
      </c>
      <c r="K63">
        <v>0.495</v>
      </c>
      <c r="L63">
        <v>0.38300000000000001</v>
      </c>
      <c r="M63">
        <v>0.88300000000000001</v>
      </c>
      <c r="N63">
        <v>152.30000000000001</v>
      </c>
      <c r="O63">
        <v>0.216</v>
      </c>
      <c r="P63">
        <v>6.8</v>
      </c>
      <c r="Q63">
        <v>74.8</v>
      </c>
      <c r="R63">
        <v>36.700000000000003</v>
      </c>
      <c r="S63">
        <v>27.1</v>
      </c>
      <c r="T63">
        <v>7.1</v>
      </c>
      <c r="U63">
        <v>4.2</v>
      </c>
      <c r="V63" t="str">
        <f>IF(DraftData[[#This Row],[Pick]]&lt;=5,"Top 5",
IF(DraftData[[#This Row],[Pick]]&lt;=14,"Lottery",
IF(DraftData[[#This Row],[Pick]]&lt;=20,"Mid First","Late First")))</f>
        <v>Top 5</v>
      </c>
      <c r="W63" t="str">
        <f>IF(DraftData[[#This Row],[Win Shares]]&gt;=80,"Star",
IF(DraftData[[#This Row],[Win Shares]]&gt;=30,"Starter",
IF(DraftData[[#This Row],[Win Shares]]&gt;=10,"Rotation","Minimal")))</f>
        <v>Star</v>
      </c>
      <c r="X63" t="str">
        <f>IF(AND(DraftData[[#This Row],[Pick]]&lt;=14,DraftData[[#This Row],[Win Shares]]&lt;10),"Yes","No")</f>
        <v>No</v>
      </c>
      <c r="Y63" s="2">
        <f>DraftData[[#This Row],[Win Shares]]/DraftData[[#This Row],[Pick]]</f>
        <v>76.150000000000006</v>
      </c>
      <c r="Z63" s="2">
        <f>DraftData[[#This Row],[Win Shares]]-_xlfn.XLOOKUP(DraftData[[#This Row],[Pick]],'Lookup Tables'!$A$2:$A$31,'Lookup Tables'!$B$2:$B$31)</f>
        <v>112.50833333333335</v>
      </c>
    </row>
    <row r="64" spans="1:26">
      <c r="A64">
        <v>2007</v>
      </c>
      <c r="B64">
        <v>3</v>
      </c>
      <c r="C64" t="s">
        <v>39</v>
      </c>
      <c r="D64" t="s">
        <v>162</v>
      </c>
      <c r="E64" t="s">
        <v>109</v>
      </c>
      <c r="F64">
        <v>932</v>
      </c>
      <c r="G64">
        <v>30034</v>
      </c>
      <c r="H64">
        <v>12802</v>
      </c>
      <c r="I64">
        <v>7625</v>
      </c>
      <c r="J64">
        <v>3085</v>
      </c>
      <c r="K64">
        <v>0.51400000000000001</v>
      </c>
      <c r="L64">
        <v>0.35699999999999998</v>
      </c>
      <c r="M64">
        <v>0.75800000000000001</v>
      </c>
      <c r="N64">
        <v>97.9</v>
      </c>
      <c r="O64">
        <v>0.156</v>
      </c>
      <c r="P64">
        <v>2.8</v>
      </c>
      <c r="Q64">
        <v>36.799999999999997</v>
      </c>
      <c r="R64">
        <v>32.200000000000003</v>
      </c>
      <c r="S64">
        <v>13.7</v>
      </c>
      <c r="T64">
        <v>8.1999999999999993</v>
      </c>
      <c r="U64">
        <v>3.3</v>
      </c>
      <c r="V64" t="str">
        <f>IF(DraftData[[#This Row],[Pick]]&lt;=5,"Top 5",
IF(DraftData[[#This Row],[Pick]]&lt;=14,"Lottery",
IF(DraftData[[#This Row],[Pick]]&lt;=20,"Mid First","Late First")))</f>
        <v>Top 5</v>
      </c>
      <c r="W64" t="str">
        <f>IF(DraftData[[#This Row],[Win Shares]]&gt;=80,"Star",
IF(DraftData[[#This Row],[Win Shares]]&gt;=30,"Starter",
IF(DraftData[[#This Row],[Win Shares]]&gt;=10,"Rotation","Minimal")))</f>
        <v>Star</v>
      </c>
      <c r="X64" t="str">
        <f>IF(AND(DraftData[[#This Row],[Pick]]&lt;=14,DraftData[[#This Row],[Win Shares]]&lt;10),"Yes","No")</f>
        <v>No</v>
      </c>
      <c r="Y64" s="2">
        <f>DraftData[[#This Row],[Win Shares]]/DraftData[[#This Row],[Pick]]</f>
        <v>32.633333333333333</v>
      </c>
      <c r="Z64" s="2">
        <f>DraftData[[#This Row],[Win Shares]]-_xlfn.XLOOKUP(DraftData[[#This Row],[Pick]],'Lookup Tables'!$A$2:$A$31,'Lookup Tables'!$B$2:$B$31)</f>
        <v>47.133333333333333</v>
      </c>
    </row>
    <row r="65" spans="1:26">
      <c r="A65">
        <v>2007</v>
      </c>
      <c r="B65">
        <v>4</v>
      </c>
      <c r="C65" t="s">
        <v>80</v>
      </c>
      <c r="D65" t="s">
        <v>163</v>
      </c>
      <c r="E65" t="s">
        <v>160</v>
      </c>
      <c r="F65">
        <v>938</v>
      </c>
      <c r="G65">
        <v>30031</v>
      </c>
      <c r="H65">
        <v>13954</v>
      </c>
      <c r="I65">
        <v>2815</v>
      </c>
      <c r="J65">
        <v>5298</v>
      </c>
      <c r="K65">
        <v>0.439</v>
      </c>
      <c r="L65">
        <v>0.38100000000000001</v>
      </c>
      <c r="M65">
        <v>0.82099999999999995</v>
      </c>
      <c r="N65">
        <v>85.3</v>
      </c>
      <c r="O65">
        <v>0.13600000000000001</v>
      </c>
      <c r="P65">
        <v>2.5</v>
      </c>
      <c r="Q65">
        <v>34.1</v>
      </c>
      <c r="R65">
        <v>32</v>
      </c>
      <c r="S65">
        <v>14.9</v>
      </c>
      <c r="T65">
        <v>3</v>
      </c>
      <c r="U65">
        <v>5.6</v>
      </c>
      <c r="V65" t="str">
        <f>IF(DraftData[[#This Row],[Pick]]&lt;=5,"Top 5",
IF(DraftData[[#This Row],[Pick]]&lt;=14,"Lottery",
IF(DraftData[[#This Row],[Pick]]&lt;=20,"Mid First","Late First")))</f>
        <v>Top 5</v>
      </c>
      <c r="W65" t="str">
        <f>IF(DraftData[[#This Row],[Win Shares]]&gt;=80,"Star",
IF(DraftData[[#This Row],[Win Shares]]&gt;=30,"Starter",
IF(DraftData[[#This Row],[Win Shares]]&gt;=10,"Rotation","Minimal")))</f>
        <v>Star</v>
      </c>
      <c r="X65" t="str">
        <f>IF(AND(DraftData[[#This Row],[Pick]]&lt;=14,DraftData[[#This Row],[Win Shares]]&lt;10),"Yes","No")</f>
        <v>No</v>
      </c>
      <c r="Y65" s="2">
        <f>DraftData[[#This Row],[Win Shares]]/DraftData[[#This Row],[Pick]]</f>
        <v>21.324999999999999</v>
      </c>
      <c r="Z65" s="2">
        <f>DraftData[[#This Row],[Win Shares]]-_xlfn.XLOOKUP(DraftData[[#This Row],[Pick]],'Lookup Tables'!$A$2:$A$31,'Lookup Tables'!$B$2:$B$31)</f>
        <v>36.74166666666666</v>
      </c>
    </row>
    <row r="66" spans="1:26">
      <c r="A66">
        <v>2007</v>
      </c>
      <c r="B66">
        <v>5</v>
      </c>
      <c r="C66" t="s">
        <v>78</v>
      </c>
      <c r="D66" t="s">
        <v>164</v>
      </c>
      <c r="E66" t="s">
        <v>165</v>
      </c>
      <c r="F66">
        <v>1030</v>
      </c>
      <c r="G66">
        <v>29939</v>
      </c>
      <c r="H66">
        <v>13084</v>
      </c>
      <c r="I66">
        <v>4441</v>
      </c>
      <c r="J66">
        <v>1596</v>
      </c>
      <c r="K66">
        <v>0.44700000000000001</v>
      </c>
      <c r="L66">
        <v>0.34</v>
      </c>
      <c r="M66">
        <v>0.80500000000000005</v>
      </c>
      <c r="N66">
        <v>49.2</v>
      </c>
      <c r="O66">
        <v>7.9000000000000001E-2</v>
      </c>
      <c r="P66">
        <v>-1.3</v>
      </c>
      <c r="Q66">
        <v>4.9000000000000004</v>
      </c>
      <c r="R66">
        <v>29.1</v>
      </c>
      <c r="S66">
        <v>12.7</v>
      </c>
      <c r="T66">
        <v>4.3</v>
      </c>
      <c r="U66">
        <v>1.5</v>
      </c>
      <c r="V66" t="str">
        <f>IF(DraftData[[#This Row],[Pick]]&lt;=5,"Top 5",
IF(DraftData[[#This Row],[Pick]]&lt;=14,"Lottery",
IF(DraftData[[#This Row],[Pick]]&lt;=20,"Mid First","Late First")))</f>
        <v>Top 5</v>
      </c>
      <c r="W66" t="str">
        <f>IF(DraftData[[#This Row],[Win Shares]]&gt;=80,"Star",
IF(DraftData[[#This Row],[Win Shares]]&gt;=30,"Starter",
IF(DraftData[[#This Row],[Win Shares]]&gt;=10,"Rotation","Minimal")))</f>
        <v>Starter</v>
      </c>
      <c r="X66" t="str">
        <f>IF(AND(DraftData[[#This Row],[Pick]]&lt;=14,DraftData[[#This Row],[Win Shares]]&lt;10),"Yes","No")</f>
        <v>No</v>
      </c>
      <c r="Y66" s="2">
        <f>DraftData[[#This Row],[Win Shares]]/DraftData[[#This Row],[Pick]]</f>
        <v>9.84</v>
      </c>
      <c r="Z66" s="2">
        <f>DraftData[[#This Row],[Win Shares]]-_xlfn.XLOOKUP(DraftData[[#This Row],[Pick]],'Lookup Tables'!$A$2:$A$31,'Lookup Tables'!$B$2:$B$31)</f>
        <v>17.841666666666665</v>
      </c>
    </row>
    <row r="67" spans="1:26">
      <c r="A67">
        <v>2007</v>
      </c>
      <c r="B67">
        <v>6</v>
      </c>
      <c r="C67" t="s">
        <v>36</v>
      </c>
      <c r="D67" t="s">
        <v>166</v>
      </c>
      <c r="F67">
        <v>272</v>
      </c>
      <c r="G67">
        <v>6038</v>
      </c>
      <c r="H67">
        <v>2148</v>
      </c>
      <c r="I67">
        <v>1339</v>
      </c>
      <c r="J67">
        <v>192</v>
      </c>
      <c r="K67">
        <v>0.40400000000000003</v>
      </c>
      <c r="L67">
        <v>0.33300000000000002</v>
      </c>
      <c r="M67">
        <v>0.78</v>
      </c>
      <c r="N67">
        <v>3.1</v>
      </c>
      <c r="O67">
        <v>2.5000000000000001E-2</v>
      </c>
      <c r="P67">
        <v>-4.3</v>
      </c>
      <c r="Q67">
        <v>-3.5</v>
      </c>
      <c r="R67">
        <v>22.2</v>
      </c>
      <c r="S67">
        <v>7.9</v>
      </c>
      <c r="T67">
        <v>4.9000000000000004</v>
      </c>
      <c r="U67">
        <v>0.7</v>
      </c>
      <c r="V67" t="str">
        <f>IF(DraftData[[#This Row],[Pick]]&lt;=5,"Top 5",
IF(DraftData[[#This Row],[Pick]]&lt;=14,"Lottery",
IF(DraftData[[#This Row],[Pick]]&lt;=20,"Mid First","Late First")))</f>
        <v>Lottery</v>
      </c>
      <c r="W67" t="str">
        <f>IF(DraftData[[#This Row],[Win Shares]]&gt;=80,"Star",
IF(DraftData[[#This Row],[Win Shares]]&gt;=30,"Starter",
IF(DraftData[[#This Row],[Win Shares]]&gt;=10,"Rotation","Minimal")))</f>
        <v>Minimal</v>
      </c>
      <c r="X67" t="str">
        <f>IF(AND(DraftData[[#This Row],[Pick]]&lt;=14,DraftData[[#This Row],[Win Shares]]&lt;10),"Yes","No")</f>
        <v>Yes</v>
      </c>
      <c r="Y67" s="2">
        <f>DraftData[[#This Row],[Win Shares]]/DraftData[[#This Row],[Pick]]</f>
        <v>0.51666666666666672</v>
      </c>
      <c r="Z67" s="2">
        <f>DraftData[[#This Row],[Win Shares]]-_xlfn.XLOOKUP(DraftData[[#This Row],[Pick]],'Lookup Tables'!$A$2:$A$31,'Lookup Tables'!$B$2:$B$31)</f>
        <v>-24.558333333333334</v>
      </c>
    </row>
    <row r="68" spans="1:26">
      <c r="A68">
        <v>2007</v>
      </c>
      <c r="B68">
        <v>7</v>
      </c>
      <c r="C68" t="s">
        <v>68</v>
      </c>
      <c r="D68" t="s">
        <v>167</v>
      </c>
      <c r="E68" t="s">
        <v>109</v>
      </c>
      <c r="F68">
        <v>819</v>
      </c>
      <c r="G68">
        <v>18771</v>
      </c>
      <c r="H68">
        <v>7097</v>
      </c>
      <c r="I68">
        <v>2287</v>
      </c>
      <c r="J68">
        <v>1250</v>
      </c>
      <c r="K68">
        <v>0.42499999999999999</v>
      </c>
      <c r="L68">
        <v>0.28399999999999997</v>
      </c>
      <c r="M68">
        <v>0.71299999999999997</v>
      </c>
      <c r="N68">
        <v>22.5</v>
      </c>
      <c r="O68">
        <v>5.8000000000000003E-2</v>
      </c>
      <c r="P68">
        <v>-1.6</v>
      </c>
      <c r="Q68">
        <v>2</v>
      </c>
      <c r="R68">
        <v>22.9</v>
      </c>
      <c r="S68">
        <v>8.6999999999999993</v>
      </c>
      <c r="T68">
        <v>2.8</v>
      </c>
      <c r="U68">
        <v>1.5</v>
      </c>
      <c r="V68" t="str">
        <f>IF(DraftData[[#This Row],[Pick]]&lt;=5,"Top 5",
IF(DraftData[[#This Row],[Pick]]&lt;=14,"Lottery",
IF(DraftData[[#This Row],[Pick]]&lt;=20,"Mid First","Late First")))</f>
        <v>Lottery</v>
      </c>
      <c r="W68" t="str">
        <f>IF(DraftData[[#This Row],[Win Shares]]&gt;=80,"Star",
IF(DraftData[[#This Row],[Win Shares]]&gt;=30,"Starter",
IF(DraftData[[#This Row],[Win Shares]]&gt;=10,"Rotation","Minimal")))</f>
        <v>Rotation</v>
      </c>
      <c r="X68" t="str">
        <f>IF(AND(DraftData[[#This Row],[Pick]]&lt;=14,DraftData[[#This Row],[Win Shares]]&lt;10),"Yes","No")</f>
        <v>No</v>
      </c>
      <c r="Y68" s="2">
        <f>DraftData[[#This Row],[Win Shares]]/DraftData[[#This Row],[Pick]]</f>
        <v>3.2142857142857144</v>
      </c>
      <c r="Z68" s="2">
        <f>DraftData[[#This Row],[Win Shares]]-_xlfn.XLOOKUP(DraftData[[#This Row],[Pick]],'Lookup Tables'!$A$2:$A$31,'Lookup Tables'!$B$2:$B$31)</f>
        <v>-11.475000000000009</v>
      </c>
    </row>
    <row r="69" spans="1:26">
      <c r="A69">
        <v>2007</v>
      </c>
      <c r="B69">
        <v>8</v>
      </c>
      <c r="C69" t="s">
        <v>48</v>
      </c>
      <c r="D69" t="s">
        <v>168</v>
      </c>
      <c r="E69" t="s">
        <v>41</v>
      </c>
      <c r="F69">
        <v>428</v>
      </c>
      <c r="G69">
        <v>6949</v>
      </c>
      <c r="H69">
        <v>2976</v>
      </c>
      <c r="I69">
        <v>1560</v>
      </c>
      <c r="J69">
        <v>199</v>
      </c>
      <c r="K69">
        <v>0.60699999999999998</v>
      </c>
      <c r="L69">
        <v>0</v>
      </c>
      <c r="M69">
        <v>0.67400000000000004</v>
      </c>
      <c r="N69">
        <v>26.2</v>
      </c>
      <c r="O69">
        <v>0.18099999999999999</v>
      </c>
      <c r="P69">
        <v>2.2999999999999998</v>
      </c>
      <c r="Q69">
        <v>7.5</v>
      </c>
      <c r="R69">
        <v>16.2</v>
      </c>
      <c r="S69">
        <v>7</v>
      </c>
      <c r="T69">
        <v>3.6</v>
      </c>
      <c r="U69">
        <v>0.5</v>
      </c>
      <c r="V69" t="str">
        <f>IF(DraftData[[#This Row],[Pick]]&lt;=5,"Top 5",
IF(DraftData[[#This Row],[Pick]]&lt;=14,"Lottery",
IF(DraftData[[#This Row],[Pick]]&lt;=20,"Mid First","Late First")))</f>
        <v>Lottery</v>
      </c>
      <c r="W69" t="str">
        <f>IF(DraftData[[#This Row],[Win Shares]]&gt;=80,"Star",
IF(DraftData[[#This Row],[Win Shares]]&gt;=30,"Starter",
IF(DraftData[[#This Row],[Win Shares]]&gt;=10,"Rotation","Minimal")))</f>
        <v>Rotation</v>
      </c>
      <c r="X69" t="str">
        <f>IF(AND(DraftData[[#This Row],[Pick]]&lt;=14,DraftData[[#This Row],[Win Shares]]&lt;10),"Yes","No")</f>
        <v>No</v>
      </c>
      <c r="Y69" s="2">
        <f>DraftData[[#This Row],[Win Shares]]/DraftData[[#This Row],[Pick]]</f>
        <v>3.2749999999999999</v>
      </c>
      <c r="Z69" s="2">
        <f>DraftData[[#This Row],[Win Shares]]-_xlfn.XLOOKUP(DraftData[[#This Row],[Pick]],'Lookup Tables'!$A$2:$A$31,'Lookup Tables'!$B$2:$B$31)</f>
        <v>5.0416666666666679</v>
      </c>
    </row>
    <row r="70" spans="1:26">
      <c r="A70">
        <v>2007</v>
      </c>
      <c r="B70">
        <v>9</v>
      </c>
      <c r="C70" t="s">
        <v>111</v>
      </c>
      <c r="D70" t="s">
        <v>169</v>
      </c>
      <c r="E70" t="s">
        <v>109</v>
      </c>
      <c r="F70">
        <v>672</v>
      </c>
      <c r="G70">
        <v>18646</v>
      </c>
      <c r="H70">
        <v>5881</v>
      </c>
      <c r="I70">
        <v>6058</v>
      </c>
      <c r="J70">
        <v>1907</v>
      </c>
      <c r="K70">
        <v>0.49099999999999999</v>
      </c>
      <c r="L70">
        <v>0</v>
      </c>
      <c r="M70">
        <v>0.7</v>
      </c>
      <c r="N70">
        <v>61.9</v>
      </c>
      <c r="O70">
        <v>0.159</v>
      </c>
      <c r="P70">
        <v>2.5</v>
      </c>
      <c r="Q70">
        <v>20.9</v>
      </c>
      <c r="R70">
        <v>27.7</v>
      </c>
      <c r="S70">
        <v>8.8000000000000007</v>
      </c>
      <c r="T70">
        <v>9</v>
      </c>
      <c r="U70">
        <v>2.8</v>
      </c>
      <c r="V70" t="str">
        <f>IF(DraftData[[#This Row],[Pick]]&lt;=5,"Top 5",
IF(DraftData[[#This Row],[Pick]]&lt;=14,"Lottery",
IF(DraftData[[#This Row],[Pick]]&lt;=20,"Mid First","Late First")))</f>
        <v>Lottery</v>
      </c>
      <c r="W70" t="str">
        <f>IF(DraftData[[#This Row],[Win Shares]]&gt;=80,"Star",
IF(DraftData[[#This Row],[Win Shares]]&gt;=30,"Starter",
IF(DraftData[[#This Row],[Win Shares]]&gt;=10,"Rotation","Minimal")))</f>
        <v>Starter</v>
      </c>
      <c r="X70" t="str">
        <f>IF(AND(DraftData[[#This Row],[Pick]]&lt;=14,DraftData[[#This Row],[Win Shares]]&lt;10),"Yes","No")</f>
        <v>No</v>
      </c>
      <c r="Y70" s="2">
        <f>DraftData[[#This Row],[Win Shares]]/DraftData[[#This Row],[Pick]]</f>
        <v>6.8777777777777773</v>
      </c>
      <c r="Z70" s="2">
        <f>DraftData[[#This Row],[Win Shares]]-_xlfn.XLOOKUP(DraftData[[#This Row],[Pick]],'Lookup Tables'!$A$2:$A$31,'Lookup Tables'!$B$2:$B$31)</f>
        <v>24.508333333333333</v>
      </c>
    </row>
    <row r="71" spans="1:26">
      <c r="A71">
        <v>2007</v>
      </c>
      <c r="B71">
        <v>10</v>
      </c>
      <c r="C71" t="s">
        <v>91</v>
      </c>
      <c r="D71" t="s">
        <v>170</v>
      </c>
      <c r="E71" t="s">
        <v>88</v>
      </c>
      <c r="F71">
        <v>684</v>
      </c>
      <c r="G71">
        <v>15541</v>
      </c>
      <c r="H71">
        <v>5932</v>
      </c>
      <c r="I71">
        <v>3893</v>
      </c>
      <c r="J71">
        <v>1271</v>
      </c>
      <c r="K71">
        <v>0.45700000000000002</v>
      </c>
      <c r="L71">
        <v>0.35</v>
      </c>
      <c r="M71">
        <v>0.71599999999999997</v>
      </c>
      <c r="N71">
        <v>22.6</v>
      </c>
      <c r="O71">
        <v>7.0000000000000007E-2</v>
      </c>
      <c r="P71">
        <v>-1.1000000000000001</v>
      </c>
      <c r="Q71">
        <v>3.4</v>
      </c>
      <c r="R71">
        <v>22.7</v>
      </c>
      <c r="S71">
        <v>8.6999999999999993</v>
      </c>
      <c r="T71">
        <v>5.7</v>
      </c>
      <c r="U71">
        <v>1.9</v>
      </c>
      <c r="V71" t="str">
        <f>IF(DraftData[[#This Row],[Pick]]&lt;=5,"Top 5",
IF(DraftData[[#This Row],[Pick]]&lt;=14,"Lottery",
IF(DraftData[[#This Row],[Pick]]&lt;=20,"Mid First","Late First")))</f>
        <v>Lottery</v>
      </c>
      <c r="W71" t="str">
        <f>IF(DraftData[[#This Row],[Win Shares]]&gt;=80,"Star",
IF(DraftData[[#This Row],[Win Shares]]&gt;=30,"Starter",
IF(DraftData[[#This Row],[Win Shares]]&gt;=10,"Rotation","Minimal")))</f>
        <v>Rotation</v>
      </c>
      <c r="X71" t="str">
        <f>IF(AND(DraftData[[#This Row],[Pick]]&lt;=14,DraftData[[#This Row],[Win Shares]]&lt;10),"Yes","No")</f>
        <v>No</v>
      </c>
      <c r="Y71" s="2">
        <f>DraftData[[#This Row],[Win Shares]]/DraftData[[#This Row],[Pick]]</f>
        <v>2.2600000000000002</v>
      </c>
      <c r="Z71" s="2">
        <f>DraftData[[#This Row],[Win Shares]]-_xlfn.XLOOKUP(DraftData[[#This Row],[Pick]],'Lookup Tables'!$A$2:$A$31,'Lookup Tables'!$B$2:$B$31)</f>
        <v>-4.2499999999999964</v>
      </c>
    </row>
    <row r="72" spans="1:26">
      <c r="A72">
        <v>2007</v>
      </c>
      <c r="B72">
        <v>11</v>
      </c>
      <c r="C72" t="s">
        <v>39</v>
      </c>
      <c r="D72" t="s">
        <v>171</v>
      </c>
      <c r="E72" t="s">
        <v>72</v>
      </c>
      <c r="F72">
        <v>188</v>
      </c>
      <c r="G72">
        <v>2385</v>
      </c>
      <c r="H72">
        <v>725</v>
      </c>
      <c r="I72">
        <v>195</v>
      </c>
      <c r="J72">
        <v>309</v>
      </c>
      <c r="K72">
        <v>0.41299999999999998</v>
      </c>
      <c r="L72">
        <v>0.23499999999999999</v>
      </c>
      <c r="M72">
        <v>0.77800000000000002</v>
      </c>
      <c r="N72">
        <v>1.6</v>
      </c>
      <c r="O72">
        <v>3.2000000000000001E-2</v>
      </c>
      <c r="P72">
        <v>-3.9</v>
      </c>
      <c r="Q72">
        <v>-1.1000000000000001</v>
      </c>
      <c r="R72">
        <v>12.7</v>
      </c>
      <c r="S72">
        <v>3.9</v>
      </c>
      <c r="T72">
        <v>1</v>
      </c>
      <c r="U72">
        <v>1.6</v>
      </c>
      <c r="V72" t="str">
        <f>IF(DraftData[[#This Row],[Pick]]&lt;=5,"Top 5",
IF(DraftData[[#This Row],[Pick]]&lt;=14,"Lottery",
IF(DraftData[[#This Row],[Pick]]&lt;=20,"Mid First","Late First")))</f>
        <v>Lottery</v>
      </c>
      <c r="W72" t="str">
        <f>IF(DraftData[[#This Row],[Win Shares]]&gt;=80,"Star",
IF(DraftData[[#This Row],[Win Shares]]&gt;=30,"Starter",
IF(DraftData[[#This Row],[Win Shares]]&gt;=10,"Rotation","Minimal")))</f>
        <v>Minimal</v>
      </c>
      <c r="X72" t="str">
        <f>IF(AND(DraftData[[#This Row],[Pick]]&lt;=14,DraftData[[#This Row],[Win Shares]]&lt;10),"Yes","No")</f>
        <v>Yes</v>
      </c>
      <c r="Y72" s="2">
        <f>DraftData[[#This Row],[Win Shares]]/DraftData[[#This Row],[Pick]]</f>
        <v>0.14545454545454548</v>
      </c>
      <c r="Z72" s="2">
        <f>DraftData[[#This Row],[Win Shares]]-_xlfn.XLOOKUP(DraftData[[#This Row],[Pick]],'Lookup Tables'!$A$2:$A$31,'Lookup Tables'!$B$2:$B$31)</f>
        <v>-21.099999999999998</v>
      </c>
    </row>
    <row r="73" spans="1:26">
      <c r="A73">
        <v>2007</v>
      </c>
      <c r="B73">
        <v>12</v>
      </c>
      <c r="C73" t="s">
        <v>129</v>
      </c>
      <c r="D73" t="s">
        <v>172</v>
      </c>
      <c r="E73" t="s">
        <v>90</v>
      </c>
      <c r="F73">
        <v>1061</v>
      </c>
      <c r="G73">
        <v>31336</v>
      </c>
      <c r="H73">
        <v>13698</v>
      </c>
      <c r="I73">
        <v>6239</v>
      </c>
      <c r="J73">
        <v>1960</v>
      </c>
      <c r="K73">
        <v>0.502</v>
      </c>
      <c r="L73">
        <v>0.33</v>
      </c>
      <c r="M73">
        <v>0.66500000000000004</v>
      </c>
      <c r="N73">
        <v>67.7</v>
      </c>
      <c r="O73">
        <v>0.104</v>
      </c>
      <c r="P73">
        <v>0.5</v>
      </c>
      <c r="Q73">
        <v>19.5</v>
      </c>
      <c r="R73">
        <v>29.5</v>
      </c>
      <c r="S73">
        <v>12.9</v>
      </c>
      <c r="T73">
        <v>5.9</v>
      </c>
      <c r="U73">
        <v>1.8</v>
      </c>
      <c r="V73" t="str">
        <f>IF(DraftData[[#This Row],[Pick]]&lt;=5,"Top 5",
IF(DraftData[[#This Row],[Pick]]&lt;=14,"Lottery",
IF(DraftData[[#This Row],[Pick]]&lt;=20,"Mid First","Late First")))</f>
        <v>Lottery</v>
      </c>
      <c r="W73" t="str">
        <f>IF(DraftData[[#This Row],[Win Shares]]&gt;=80,"Star",
IF(DraftData[[#This Row],[Win Shares]]&gt;=30,"Starter",
IF(DraftData[[#This Row],[Win Shares]]&gt;=10,"Rotation","Minimal")))</f>
        <v>Starter</v>
      </c>
      <c r="X73" t="str">
        <f>IF(AND(DraftData[[#This Row],[Pick]]&lt;=14,DraftData[[#This Row],[Win Shares]]&lt;10),"Yes","No")</f>
        <v>No</v>
      </c>
      <c r="Y73" s="2">
        <f>DraftData[[#This Row],[Win Shares]]/DraftData[[#This Row],[Pick]]</f>
        <v>5.6416666666666666</v>
      </c>
      <c r="Z73" s="2">
        <f>DraftData[[#This Row],[Win Shares]]-_xlfn.XLOOKUP(DraftData[[#This Row],[Pick]],'Lookup Tables'!$A$2:$A$31,'Lookup Tables'!$B$2:$B$31)</f>
        <v>46.38333333333334</v>
      </c>
    </row>
    <row r="74" spans="1:26">
      <c r="A74">
        <v>2007</v>
      </c>
      <c r="B74">
        <v>13</v>
      </c>
      <c r="C74" t="s">
        <v>48</v>
      </c>
      <c r="D74" t="s">
        <v>173</v>
      </c>
      <c r="E74" t="s">
        <v>107</v>
      </c>
      <c r="F74">
        <v>231</v>
      </c>
      <c r="G74">
        <v>3049</v>
      </c>
      <c r="H74">
        <v>907</v>
      </c>
      <c r="I74">
        <v>531</v>
      </c>
      <c r="J74">
        <v>182</v>
      </c>
      <c r="K74">
        <v>0.499</v>
      </c>
      <c r="L74">
        <v>0.26200000000000001</v>
      </c>
      <c r="M74">
        <v>0.58399999999999996</v>
      </c>
      <c r="N74">
        <v>3.9</v>
      </c>
      <c r="O74">
        <v>6.0999999999999999E-2</v>
      </c>
      <c r="P74">
        <v>-0.5</v>
      </c>
      <c r="Q74">
        <v>1.2</v>
      </c>
      <c r="R74">
        <v>13.2</v>
      </c>
      <c r="S74">
        <v>3.9</v>
      </c>
      <c r="T74">
        <v>2.2999999999999998</v>
      </c>
      <c r="U74">
        <v>0.8</v>
      </c>
      <c r="V74" t="str">
        <f>IF(DraftData[[#This Row],[Pick]]&lt;=5,"Top 5",
IF(DraftData[[#This Row],[Pick]]&lt;=14,"Lottery",
IF(DraftData[[#This Row],[Pick]]&lt;=20,"Mid First","Late First")))</f>
        <v>Lottery</v>
      </c>
      <c r="W74" t="str">
        <f>IF(DraftData[[#This Row],[Win Shares]]&gt;=80,"Star",
IF(DraftData[[#This Row],[Win Shares]]&gt;=30,"Starter",
IF(DraftData[[#This Row],[Win Shares]]&gt;=10,"Rotation","Minimal")))</f>
        <v>Minimal</v>
      </c>
      <c r="X74" t="str">
        <f>IF(AND(DraftData[[#This Row],[Pick]]&lt;=14,DraftData[[#This Row],[Win Shares]]&lt;10),"Yes","No")</f>
        <v>Yes</v>
      </c>
      <c r="Y74" s="2">
        <f>DraftData[[#This Row],[Win Shares]]/DraftData[[#This Row],[Pick]]</f>
        <v>0.3</v>
      </c>
      <c r="Z74" s="2">
        <f>DraftData[[#This Row],[Win Shares]]-_xlfn.XLOOKUP(DraftData[[#This Row],[Pick]],'Lookup Tables'!$A$2:$A$31,'Lookup Tables'!$B$2:$B$31)</f>
        <v>-15.433333333333332</v>
      </c>
    </row>
    <row r="75" spans="1:26">
      <c r="A75">
        <v>2007</v>
      </c>
      <c r="B75">
        <v>14</v>
      </c>
      <c r="C75" t="s">
        <v>65</v>
      </c>
      <c r="D75" t="s">
        <v>174</v>
      </c>
      <c r="E75" t="s">
        <v>175</v>
      </c>
      <c r="F75">
        <v>296</v>
      </c>
      <c r="G75">
        <v>8274</v>
      </c>
      <c r="H75">
        <v>3527</v>
      </c>
      <c r="I75">
        <v>1233</v>
      </c>
      <c r="J75">
        <v>353</v>
      </c>
      <c r="K75">
        <v>0.45200000000000001</v>
      </c>
      <c r="L75">
        <v>0.29299999999999998</v>
      </c>
      <c r="M75">
        <v>0.747</v>
      </c>
      <c r="N75">
        <v>6.1</v>
      </c>
      <c r="O75">
        <v>3.5000000000000003E-2</v>
      </c>
      <c r="P75">
        <v>-3.5</v>
      </c>
      <c r="Q75">
        <v>-3.2</v>
      </c>
      <c r="R75">
        <v>28</v>
      </c>
      <c r="S75">
        <v>11.9</v>
      </c>
      <c r="T75">
        <v>4.2</v>
      </c>
      <c r="U75">
        <v>1.2</v>
      </c>
      <c r="V75" t="str">
        <f>IF(DraftData[[#This Row],[Pick]]&lt;=5,"Top 5",
IF(DraftData[[#This Row],[Pick]]&lt;=14,"Lottery",
IF(DraftData[[#This Row],[Pick]]&lt;=20,"Mid First","Late First")))</f>
        <v>Lottery</v>
      </c>
      <c r="W75" t="str">
        <f>IF(DraftData[[#This Row],[Win Shares]]&gt;=80,"Star",
IF(DraftData[[#This Row],[Win Shares]]&gt;=30,"Starter",
IF(DraftData[[#This Row],[Win Shares]]&gt;=10,"Rotation","Minimal")))</f>
        <v>Minimal</v>
      </c>
      <c r="X75" t="str">
        <f>IF(AND(DraftData[[#This Row],[Pick]]&lt;=14,DraftData[[#This Row],[Win Shares]]&lt;10),"Yes","No")</f>
        <v>Yes</v>
      </c>
      <c r="Y75" s="2">
        <f>DraftData[[#This Row],[Win Shares]]/DraftData[[#This Row],[Pick]]</f>
        <v>0.43571428571428567</v>
      </c>
      <c r="Z75" s="2">
        <f>DraftData[[#This Row],[Win Shares]]-_xlfn.XLOOKUP(DraftData[[#This Row],[Pick]],'Lookup Tables'!$A$2:$A$31,'Lookup Tables'!$B$2:$B$31)</f>
        <v>-8.6499999999999986</v>
      </c>
    </row>
    <row r="76" spans="1:26">
      <c r="A76">
        <v>2007</v>
      </c>
      <c r="B76">
        <v>15</v>
      </c>
      <c r="C76" t="s">
        <v>98</v>
      </c>
      <c r="D76" t="s">
        <v>176</v>
      </c>
      <c r="E76" t="s">
        <v>177</v>
      </c>
      <c r="F76">
        <v>651</v>
      </c>
      <c r="G76">
        <v>17890</v>
      </c>
      <c r="H76">
        <v>8185</v>
      </c>
      <c r="I76">
        <v>1912</v>
      </c>
      <c r="J76">
        <v>2333</v>
      </c>
      <c r="K76">
        <v>0.42299999999999999</v>
      </c>
      <c r="L76">
        <v>0.3</v>
      </c>
      <c r="M76">
        <v>0.82399999999999995</v>
      </c>
      <c r="N76">
        <v>28.7</v>
      </c>
      <c r="O76">
        <v>7.6999999999999999E-2</v>
      </c>
      <c r="P76">
        <v>-0.9</v>
      </c>
      <c r="Q76">
        <v>4.9000000000000004</v>
      </c>
      <c r="R76">
        <v>27.5</v>
      </c>
      <c r="S76">
        <v>12.6</v>
      </c>
      <c r="T76">
        <v>2.9</v>
      </c>
      <c r="U76">
        <v>3.6</v>
      </c>
      <c r="V76" t="str">
        <f>IF(DraftData[[#This Row],[Pick]]&lt;=5,"Top 5",
IF(DraftData[[#This Row],[Pick]]&lt;=14,"Lottery",
IF(DraftData[[#This Row],[Pick]]&lt;=20,"Mid First","Late First")))</f>
        <v>Mid First</v>
      </c>
      <c r="W76" t="str">
        <f>IF(DraftData[[#This Row],[Win Shares]]&gt;=80,"Star",
IF(DraftData[[#This Row],[Win Shares]]&gt;=30,"Starter",
IF(DraftData[[#This Row],[Win Shares]]&gt;=10,"Rotation","Minimal")))</f>
        <v>Rotation</v>
      </c>
      <c r="X76" t="str">
        <f>IF(AND(DraftData[[#This Row],[Pick]]&lt;=14,DraftData[[#This Row],[Win Shares]]&lt;10),"Yes","No")</f>
        <v>No</v>
      </c>
      <c r="Y76" s="2">
        <f>DraftData[[#This Row],[Win Shares]]/DraftData[[#This Row],[Pick]]</f>
        <v>1.9133333333333333</v>
      </c>
      <c r="Z76" s="2">
        <f>DraftData[[#This Row],[Win Shares]]-_xlfn.XLOOKUP(DraftData[[#This Row],[Pick]],'Lookup Tables'!$A$2:$A$31,'Lookup Tables'!$B$2:$B$31)</f>
        <v>2.9166666666666679</v>
      </c>
    </row>
    <row r="77" spans="1:26">
      <c r="A77">
        <v>2007</v>
      </c>
      <c r="B77">
        <v>16</v>
      </c>
      <c r="C77" t="s">
        <v>137</v>
      </c>
      <c r="D77" t="s">
        <v>178</v>
      </c>
      <c r="E77" t="s">
        <v>179</v>
      </c>
      <c r="F77">
        <v>720</v>
      </c>
      <c r="G77">
        <v>16419</v>
      </c>
      <c r="H77">
        <v>8194</v>
      </c>
      <c r="I77">
        <v>1427</v>
      </c>
      <c r="J77">
        <v>687</v>
      </c>
      <c r="K77">
        <v>0.41799999999999998</v>
      </c>
      <c r="L77">
        <v>0.376</v>
      </c>
      <c r="M77">
        <v>0.83599999999999997</v>
      </c>
      <c r="N77">
        <v>18.600000000000001</v>
      </c>
      <c r="O77">
        <v>5.3999999999999999E-2</v>
      </c>
      <c r="P77">
        <v>-2.2000000000000002</v>
      </c>
      <c r="Q77">
        <v>-0.8</v>
      </c>
      <c r="R77">
        <v>22.8</v>
      </c>
      <c r="S77">
        <v>11.4</v>
      </c>
      <c r="T77">
        <v>2</v>
      </c>
      <c r="U77">
        <v>1</v>
      </c>
      <c r="V77" t="str">
        <f>IF(DraftData[[#This Row],[Pick]]&lt;=5,"Top 5",
IF(DraftData[[#This Row],[Pick]]&lt;=14,"Lottery",
IF(DraftData[[#This Row],[Pick]]&lt;=20,"Mid First","Late First")))</f>
        <v>Mid First</v>
      </c>
      <c r="W77" t="str">
        <f>IF(DraftData[[#This Row],[Win Shares]]&gt;=80,"Star",
IF(DraftData[[#This Row],[Win Shares]]&gt;=30,"Starter",
IF(DraftData[[#This Row],[Win Shares]]&gt;=10,"Rotation","Minimal")))</f>
        <v>Rotation</v>
      </c>
      <c r="X77" t="str">
        <f>IF(AND(DraftData[[#This Row],[Pick]]&lt;=14,DraftData[[#This Row],[Win Shares]]&lt;10),"Yes","No")</f>
        <v>No</v>
      </c>
      <c r="Y77" s="2">
        <f>DraftData[[#This Row],[Win Shares]]/DraftData[[#This Row],[Pick]]</f>
        <v>1.1625000000000001</v>
      </c>
      <c r="Z77" s="2">
        <f>DraftData[[#This Row],[Win Shares]]-_xlfn.XLOOKUP(DraftData[[#This Row],[Pick]],'Lookup Tables'!$A$2:$A$31,'Lookup Tables'!$B$2:$B$31)</f>
        <v>1.6166666666666671</v>
      </c>
    </row>
    <row r="78" spans="1:26">
      <c r="A78">
        <v>2007</v>
      </c>
      <c r="B78">
        <v>17</v>
      </c>
      <c r="C78" t="s">
        <v>70</v>
      </c>
      <c r="D78" t="s">
        <v>180</v>
      </c>
      <c r="E78" t="s">
        <v>181</v>
      </c>
      <c r="F78">
        <v>137</v>
      </c>
      <c r="G78">
        <v>1978</v>
      </c>
      <c r="H78">
        <v>581</v>
      </c>
      <c r="I78">
        <v>472</v>
      </c>
      <c r="J78">
        <v>47</v>
      </c>
      <c r="K78">
        <v>0.51100000000000001</v>
      </c>
      <c r="L78">
        <v>0</v>
      </c>
      <c r="M78">
        <v>0.624</v>
      </c>
      <c r="N78">
        <v>3</v>
      </c>
      <c r="O78">
        <v>7.2999999999999995E-2</v>
      </c>
      <c r="P78">
        <v>-3.1</v>
      </c>
      <c r="Q78">
        <v>-0.6</v>
      </c>
      <c r="R78">
        <v>14.4</v>
      </c>
      <c r="S78">
        <v>4.2</v>
      </c>
      <c r="T78">
        <v>3.4</v>
      </c>
      <c r="U78">
        <v>0.3</v>
      </c>
      <c r="V78" t="str">
        <f>IF(DraftData[[#This Row],[Pick]]&lt;=5,"Top 5",
IF(DraftData[[#This Row],[Pick]]&lt;=14,"Lottery",
IF(DraftData[[#This Row],[Pick]]&lt;=20,"Mid First","Late First")))</f>
        <v>Mid First</v>
      </c>
      <c r="W78" t="str">
        <f>IF(DraftData[[#This Row],[Win Shares]]&gt;=80,"Star",
IF(DraftData[[#This Row],[Win Shares]]&gt;=30,"Starter",
IF(DraftData[[#This Row],[Win Shares]]&gt;=10,"Rotation","Minimal")))</f>
        <v>Minimal</v>
      </c>
      <c r="X78" t="str">
        <f>IF(AND(DraftData[[#This Row],[Pick]]&lt;=14,DraftData[[#This Row],[Win Shares]]&lt;10),"Yes","No")</f>
        <v>No</v>
      </c>
      <c r="Y78" s="2">
        <f>DraftData[[#This Row],[Win Shares]]/DraftData[[#This Row],[Pick]]</f>
        <v>0.17647058823529413</v>
      </c>
      <c r="Z78" s="2">
        <f>DraftData[[#This Row],[Win Shares]]-_xlfn.XLOOKUP(DraftData[[#This Row],[Pick]],'Lookup Tables'!$A$2:$A$31,'Lookup Tables'!$B$2:$B$31)</f>
        <v>-14.316666666666666</v>
      </c>
    </row>
    <row r="79" spans="1:26">
      <c r="A79">
        <v>2007</v>
      </c>
      <c r="B79">
        <v>18</v>
      </c>
      <c r="C79" t="s">
        <v>58</v>
      </c>
      <c r="D79" t="s">
        <v>182</v>
      </c>
      <c r="F79">
        <v>860</v>
      </c>
      <c r="G79">
        <v>19548</v>
      </c>
      <c r="H79">
        <v>8370</v>
      </c>
      <c r="I79">
        <v>1769</v>
      </c>
      <c r="J79">
        <v>1429</v>
      </c>
      <c r="K79">
        <v>0.42399999999999999</v>
      </c>
      <c r="L79">
        <v>0.376</v>
      </c>
      <c r="M79">
        <v>0.84599999999999997</v>
      </c>
      <c r="N79">
        <v>30.5</v>
      </c>
      <c r="O79">
        <v>7.4999999999999997E-2</v>
      </c>
      <c r="P79">
        <v>-1.3</v>
      </c>
      <c r="Q79">
        <v>3.3</v>
      </c>
      <c r="R79">
        <v>22.7</v>
      </c>
      <c r="S79">
        <v>9.6999999999999993</v>
      </c>
      <c r="T79">
        <v>2.1</v>
      </c>
      <c r="U79">
        <v>1.7</v>
      </c>
      <c r="V79" t="str">
        <f>IF(DraftData[[#This Row],[Pick]]&lt;=5,"Top 5",
IF(DraftData[[#This Row],[Pick]]&lt;=14,"Lottery",
IF(DraftData[[#This Row],[Pick]]&lt;=20,"Mid First","Late First")))</f>
        <v>Mid First</v>
      </c>
      <c r="W79" t="str">
        <f>IF(DraftData[[#This Row],[Win Shares]]&gt;=80,"Star",
IF(DraftData[[#This Row],[Win Shares]]&gt;=30,"Starter",
IF(DraftData[[#This Row],[Win Shares]]&gt;=10,"Rotation","Minimal")))</f>
        <v>Starter</v>
      </c>
      <c r="X79" t="str">
        <f>IF(AND(DraftData[[#This Row],[Pick]]&lt;=14,DraftData[[#This Row],[Win Shares]]&lt;10),"Yes","No")</f>
        <v>No</v>
      </c>
      <c r="Y79" s="2">
        <f>DraftData[[#This Row],[Win Shares]]/DraftData[[#This Row],[Pick]]</f>
        <v>1.6944444444444444</v>
      </c>
      <c r="Z79" s="2">
        <f>DraftData[[#This Row],[Win Shares]]-_xlfn.XLOOKUP(DraftData[[#This Row],[Pick]],'Lookup Tables'!$A$2:$A$31,'Lookup Tables'!$B$2:$B$31)</f>
        <v>13.191666666666666</v>
      </c>
    </row>
    <row r="80" spans="1:26">
      <c r="A80">
        <v>2007</v>
      </c>
      <c r="B80">
        <v>19</v>
      </c>
      <c r="C80" t="s">
        <v>61</v>
      </c>
      <c r="D80" t="s">
        <v>183</v>
      </c>
      <c r="E80" t="s">
        <v>90</v>
      </c>
      <c r="F80">
        <v>113</v>
      </c>
      <c r="G80">
        <v>1853</v>
      </c>
      <c r="H80">
        <v>595</v>
      </c>
      <c r="I80">
        <v>276</v>
      </c>
      <c r="J80">
        <v>201</v>
      </c>
      <c r="K80">
        <v>0.442</v>
      </c>
      <c r="L80">
        <v>0.23100000000000001</v>
      </c>
      <c r="M80">
        <v>0.63800000000000001</v>
      </c>
      <c r="N80">
        <v>0.1</v>
      </c>
      <c r="O80">
        <v>2E-3</v>
      </c>
      <c r="P80">
        <v>-4.2</v>
      </c>
      <c r="Q80">
        <v>-1</v>
      </c>
      <c r="R80">
        <v>16.399999999999999</v>
      </c>
      <c r="S80">
        <v>5.3</v>
      </c>
      <c r="T80">
        <v>2.4</v>
      </c>
      <c r="U80">
        <v>1.8</v>
      </c>
      <c r="V80" t="str">
        <f>IF(DraftData[[#This Row],[Pick]]&lt;=5,"Top 5",
IF(DraftData[[#This Row],[Pick]]&lt;=14,"Lottery",
IF(DraftData[[#This Row],[Pick]]&lt;=20,"Mid First","Late First")))</f>
        <v>Mid First</v>
      </c>
      <c r="W80" t="str">
        <f>IF(DraftData[[#This Row],[Win Shares]]&gt;=80,"Star",
IF(DraftData[[#This Row],[Win Shares]]&gt;=30,"Starter",
IF(DraftData[[#This Row],[Win Shares]]&gt;=10,"Rotation","Minimal")))</f>
        <v>Minimal</v>
      </c>
      <c r="X80" t="str">
        <f>IF(AND(DraftData[[#This Row],[Pick]]&lt;=14,DraftData[[#This Row],[Win Shares]]&lt;10),"Yes","No")</f>
        <v>No</v>
      </c>
      <c r="Y80" s="2">
        <f>DraftData[[#This Row],[Win Shares]]/DraftData[[#This Row],[Pick]]</f>
        <v>5.263157894736842E-3</v>
      </c>
      <c r="Z80" s="2">
        <f>DraftData[[#This Row],[Win Shares]]-_xlfn.XLOOKUP(DraftData[[#This Row],[Pick]],'Lookup Tables'!$A$2:$A$31,'Lookup Tables'!$B$2:$B$31)</f>
        <v>-17.475000000000001</v>
      </c>
    </row>
    <row r="81" spans="1:26">
      <c r="A81">
        <v>2007</v>
      </c>
      <c r="B81">
        <v>20</v>
      </c>
      <c r="C81" t="s">
        <v>105</v>
      </c>
      <c r="D81" t="s">
        <v>184</v>
      </c>
      <c r="E81" t="s">
        <v>185</v>
      </c>
      <c r="F81">
        <v>616</v>
      </c>
      <c r="G81">
        <v>10029</v>
      </c>
      <c r="H81">
        <v>3777</v>
      </c>
      <c r="I81">
        <v>2075</v>
      </c>
      <c r="J81">
        <v>453</v>
      </c>
      <c r="K81">
        <v>0.46800000000000003</v>
      </c>
      <c r="L81">
        <v>0.33300000000000002</v>
      </c>
      <c r="M81">
        <v>0.78300000000000003</v>
      </c>
      <c r="N81">
        <v>14.1</v>
      </c>
      <c r="O81">
        <v>6.7000000000000004E-2</v>
      </c>
      <c r="P81">
        <v>-2.9</v>
      </c>
      <c r="Q81">
        <v>-2.4</v>
      </c>
      <c r="R81">
        <v>16.3</v>
      </c>
      <c r="S81">
        <v>6.1</v>
      </c>
      <c r="T81">
        <v>3.4</v>
      </c>
      <c r="U81">
        <v>0.7</v>
      </c>
      <c r="V81" t="str">
        <f>IF(DraftData[[#This Row],[Pick]]&lt;=5,"Top 5",
IF(DraftData[[#This Row],[Pick]]&lt;=14,"Lottery",
IF(DraftData[[#This Row],[Pick]]&lt;=20,"Mid First","Late First")))</f>
        <v>Mid First</v>
      </c>
      <c r="W81" t="str">
        <f>IF(DraftData[[#This Row],[Win Shares]]&gt;=80,"Star",
IF(DraftData[[#This Row],[Win Shares]]&gt;=30,"Starter",
IF(DraftData[[#This Row],[Win Shares]]&gt;=10,"Rotation","Minimal")))</f>
        <v>Rotation</v>
      </c>
      <c r="X81" t="str">
        <f>IF(AND(DraftData[[#This Row],[Pick]]&lt;=14,DraftData[[#This Row],[Win Shares]]&lt;10),"Yes","No")</f>
        <v>No</v>
      </c>
      <c r="Y81" s="2">
        <f>DraftData[[#This Row],[Win Shares]]/DraftData[[#This Row],[Pick]]</f>
        <v>0.70499999999999996</v>
      </c>
      <c r="Z81" s="2">
        <f>DraftData[[#This Row],[Win Shares]]-_xlfn.XLOOKUP(DraftData[[#This Row],[Pick]],'Lookup Tables'!$A$2:$A$31,'Lookup Tables'!$B$2:$B$31)</f>
        <v>3.7083333333333321</v>
      </c>
    </row>
    <row r="82" spans="1:26">
      <c r="A82">
        <v>2007</v>
      </c>
      <c r="B82">
        <v>21</v>
      </c>
      <c r="C82" t="s">
        <v>129</v>
      </c>
      <c r="D82" t="s">
        <v>186</v>
      </c>
      <c r="E82" t="s">
        <v>160</v>
      </c>
      <c r="F82">
        <v>328</v>
      </c>
      <c r="G82">
        <v>5993</v>
      </c>
      <c r="H82">
        <v>2114</v>
      </c>
      <c r="I82">
        <v>703</v>
      </c>
      <c r="J82">
        <v>243</v>
      </c>
      <c r="K82">
        <v>0.36899999999999999</v>
      </c>
      <c r="L82">
        <v>0.35899999999999999</v>
      </c>
      <c r="M82">
        <v>0.81299999999999994</v>
      </c>
      <c r="N82">
        <v>4.9000000000000004</v>
      </c>
      <c r="O82">
        <v>3.9E-2</v>
      </c>
      <c r="P82">
        <v>-2.7</v>
      </c>
      <c r="Q82">
        <v>-1.1000000000000001</v>
      </c>
      <c r="R82">
        <v>18.3</v>
      </c>
      <c r="S82">
        <v>6.4</v>
      </c>
      <c r="T82">
        <v>2.1</v>
      </c>
      <c r="U82">
        <v>0.7</v>
      </c>
      <c r="V82" t="str">
        <f>IF(DraftData[[#This Row],[Pick]]&lt;=5,"Top 5",
IF(DraftData[[#This Row],[Pick]]&lt;=14,"Lottery",
IF(DraftData[[#This Row],[Pick]]&lt;=20,"Mid First","Late First")))</f>
        <v>Late First</v>
      </c>
      <c r="W82" t="str">
        <f>IF(DraftData[[#This Row],[Win Shares]]&gt;=80,"Star",
IF(DraftData[[#This Row],[Win Shares]]&gt;=30,"Starter",
IF(DraftData[[#This Row],[Win Shares]]&gt;=10,"Rotation","Minimal")))</f>
        <v>Minimal</v>
      </c>
      <c r="X82" t="str">
        <f>IF(AND(DraftData[[#This Row],[Pick]]&lt;=14,DraftData[[#This Row],[Win Shares]]&lt;10),"Yes","No")</f>
        <v>No</v>
      </c>
      <c r="Y82" s="2">
        <f>DraftData[[#This Row],[Win Shares]]/DraftData[[#This Row],[Pick]]</f>
        <v>0.23333333333333334</v>
      </c>
      <c r="Z82" s="2">
        <f>DraftData[[#This Row],[Win Shares]]-_xlfn.XLOOKUP(DraftData[[#This Row],[Pick]],'Lookup Tables'!$A$2:$A$31,'Lookup Tables'!$B$2:$B$31)</f>
        <v>-15.600000000000003</v>
      </c>
    </row>
    <row r="83" spans="1:26">
      <c r="A83">
        <v>2007</v>
      </c>
      <c r="B83">
        <v>22</v>
      </c>
      <c r="C83" t="s">
        <v>48</v>
      </c>
      <c r="D83" t="s">
        <v>187</v>
      </c>
      <c r="E83" t="s">
        <v>181</v>
      </c>
      <c r="F83">
        <v>904</v>
      </c>
      <c r="G83">
        <v>20117</v>
      </c>
      <c r="H83">
        <v>6633</v>
      </c>
      <c r="I83">
        <v>2849</v>
      </c>
      <c r="J83">
        <v>1394</v>
      </c>
      <c r="K83">
        <v>0.46300000000000002</v>
      </c>
      <c r="L83">
        <v>0.39300000000000002</v>
      </c>
      <c r="M83">
        <v>0.73199999999999998</v>
      </c>
      <c r="N83">
        <v>43</v>
      </c>
      <c r="O83">
        <v>0.10299999999999999</v>
      </c>
      <c r="P83">
        <v>0.2</v>
      </c>
      <c r="Q83">
        <v>11</v>
      </c>
      <c r="R83">
        <v>22.3</v>
      </c>
      <c r="S83">
        <v>7.3</v>
      </c>
      <c r="T83">
        <v>3.2</v>
      </c>
      <c r="U83">
        <v>1.5</v>
      </c>
      <c r="V83" t="str">
        <f>IF(DraftData[[#This Row],[Pick]]&lt;=5,"Top 5",
IF(DraftData[[#This Row],[Pick]]&lt;=14,"Lottery",
IF(DraftData[[#This Row],[Pick]]&lt;=20,"Mid First","Late First")))</f>
        <v>Late First</v>
      </c>
      <c r="W83" t="str">
        <f>IF(DraftData[[#This Row],[Win Shares]]&gt;=80,"Star",
IF(DraftData[[#This Row],[Win Shares]]&gt;=30,"Starter",
IF(DraftData[[#This Row],[Win Shares]]&gt;=10,"Rotation","Minimal")))</f>
        <v>Starter</v>
      </c>
      <c r="X83" t="str">
        <f>IF(AND(DraftData[[#This Row],[Pick]]&lt;=14,DraftData[[#This Row],[Win Shares]]&lt;10),"Yes","No")</f>
        <v>No</v>
      </c>
      <c r="Y83" s="2">
        <f>DraftData[[#This Row],[Win Shares]]/DraftData[[#This Row],[Pick]]</f>
        <v>1.9545454545454546</v>
      </c>
      <c r="Z83" s="2">
        <f>DraftData[[#This Row],[Win Shares]]-_xlfn.XLOOKUP(DraftData[[#This Row],[Pick]],'Lookup Tables'!$A$2:$A$31,'Lookup Tables'!$B$2:$B$31)</f>
        <v>24.516666666666662</v>
      </c>
    </row>
    <row r="84" spans="1:26">
      <c r="A84">
        <v>2007</v>
      </c>
      <c r="B84">
        <v>23</v>
      </c>
      <c r="C84" t="s">
        <v>55</v>
      </c>
      <c r="D84" t="s">
        <v>188</v>
      </c>
      <c r="E84" t="s">
        <v>189</v>
      </c>
      <c r="F84">
        <v>676</v>
      </c>
      <c r="G84">
        <v>20287</v>
      </c>
      <c r="H84">
        <v>8463</v>
      </c>
      <c r="I84">
        <v>3574</v>
      </c>
      <c r="J84">
        <v>1205</v>
      </c>
      <c r="K84">
        <v>0.443</v>
      </c>
      <c r="L84">
        <v>0.34100000000000003</v>
      </c>
      <c r="M84">
        <v>0.77</v>
      </c>
      <c r="N84">
        <v>29</v>
      </c>
      <c r="O84">
        <v>6.9000000000000006E-2</v>
      </c>
      <c r="P84">
        <v>-1.3</v>
      </c>
      <c r="Q84">
        <v>3.5</v>
      </c>
      <c r="R84">
        <v>30</v>
      </c>
      <c r="S84">
        <v>12.5</v>
      </c>
      <c r="T84">
        <v>5.3</v>
      </c>
      <c r="U84">
        <v>1.8</v>
      </c>
      <c r="V84" t="str">
        <f>IF(DraftData[[#This Row],[Pick]]&lt;=5,"Top 5",
IF(DraftData[[#This Row],[Pick]]&lt;=14,"Lottery",
IF(DraftData[[#This Row],[Pick]]&lt;=20,"Mid First","Late First")))</f>
        <v>Late First</v>
      </c>
      <c r="W84" t="str">
        <f>IF(DraftData[[#This Row],[Win Shares]]&gt;=80,"Star",
IF(DraftData[[#This Row],[Win Shares]]&gt;=30,"Starter",
IF(DraftData[[#This Row],[Win Shares]]&gt;=10,"Rotation","Minimal")))</f>
        <v>Rotation</v>
      </c>
      <c r="X84" t="str">
        <f>IF(AND(DraftData[[#This Row],[Pick]]&lt;=14,DraftData[[#This Row],[Win Shares]]&lt;10),"Yes","No")</f>
        <v>No</v>
      </c>
      <c r="Y84" s="2">
        <f>DraftData[[#This Row],[Win Shares]]/DraftData[[#This Row],[Pick]]</f>
        <v>1.2608695652173914</v>
      </c>
      <c r="Z84" s="2">
        <f>DraftData[[#This Row],[Win Shares]]-_xlfn.XLOOKUP(DraftData[[#This Row],[Pick]],'Lookup Tables'!$A$2:$A$31,'Lookup Tables'!$B$2:$B$31)</f>
        <v>12.358333333333334</v>
      </c>
    </row>
    <row r="85" spans="1:26">
      <c r="A85">
        <v>2007</v>
      </c>
      <c r="B85">
        <v>24</v>
      </c>
      <c r="C85" t="s">
        <v>86</v>
      </c>
      <c r="D85" t="s">
        <v>190</v>
      </c>
      <c r="F85">
        <v>249</v>
      </c>
      <c r="G85">
        <v>5965</v>
      </c>
      <c r="H85">
        <v>2254</v>
      </c>
      <c r="I85">
        <v>608</v>
      </c>
      <c r="J85">
        <v>554</v>
      </c>
      <c r="K85">
        <v>0.39900000000000002</v>
      </c>
      <c r="L85">
        <v>0.36</v>
      </c>
      <c r="M85">
        <v>0.84</v>
      </c>
      <c r="N85">
        <v>14.2</v>
      </c>
      <c r="O85">
        <v>0.114</v>
      </c>
      <c r="P85">
        <v>1.7</v>
      </c>
      <c r="Q85">
        <v>5.6</v>
      </c>
      <c r="R85">
        <v>24</v>
      </c>
      <c r="S85">
        <v>9.1</v>
      </c>
      <c r="T85">
        <v>2.4</v>
      </c>
      <c r="U85">
        <v>2.2000000000000002</v>
      </c>
      <c r="V85" t="str">
        <f>IF(DraftData[[#This Row],[Pick]]&lt;=5,"Top 5",
IF(DraftData[[#This Row],[Pick]]&lt;=14,"Lottery",
IF(DraftData[[#This Row],[Pick]]&lt;=20,"Mid First","Late First")))</f>
        <v>Late First</v>
      </c>
      <c r="W85" t="str">
        <f>IF(DraftData[[#This Row],[Win Shares]]&gt;=80,"Star",
IF(DraftData[[#This Row],[Win Shares]]&gt;=30,"Starter",
IF(DraftData[[#This Row],[Win Shares]]&gt;=10,"Rotation","Minimal")))</f>
        <v>Rotation</v>
      </c>
      <c r="X85" t="str">
        <f>IF(AND(DraftData[[#This Row],[Pick]]&lt;=14,DraftData[[#This Row],[Win Shares]]&lt;10),"Yes","No")</f>
        <v>No</v>
      </c>
      <c r="Y85" s="2">
        <f>DraftData[[#This Row],[Win Shares]]/DraftData[[#This Row],[Pick]]</f>
        <v>0.59166666666666667</v>
      </c>
      <c r="Z85" s="2">
        <f>DraftData[[#This Row],[Win Shares]]-_xlfn.XLOOKUP(DraftData[[#This Row],[Pick]],'Lookup Tables'!$A$2:$A$31,'Lookup Tables'!$B$2:$B$31)</f>
        <v>-10.3</v>
      </c>
    </row>
    <row r="86" spans="1:26">
      <c r="A86">
        <v>2007</v>
      </c>
      <c r="B86">
        <v>25</v>
      </c>
      <c r="C86" t="s">
        <v>42</v>
      </c>
      <c r="D86" t="s">
        <v>191</v>
      </c>
      <c r="E86" t="s">
        <v>192</v>
      </c>
      <c r="F86">
        <v>38</v>
      </c>
      <c r="G86">
        <v>361</v>
      </c>
      <c r="H86">
        <v>119</v>
      </c>
      <c r="I86">
        <v>46</v>
      </c>
      <c r="J86">
        <v>12</v>
      </c>
      <c r="K86">
        <v>0.38100000000000001</v>
      </c>
      <c r="L86">
        <v>0.29199999999999998</v>
      </c>
      <c r="M86">
        <v>0.74299999999999999</v>
      </c>
      <c r="N86">
        <v>0</v>
      </c>
      <c r="O86">
        <v>5.0000000000000001E-3</v>
      </c>
      <c r="P86">
        <v>-6.1</v>
      </c>
      <c r="Q86">
        <v>-0.4</v>
      </c>
      <c r="R86">
        <v>9.5</v>
      </c>
      <c r="S86">
        <v>3.1</v>
      </c>
      <c r="T86">
        <v>1.2</v>
      </c>
      <c r="U86">
        <v>0.3</v>
      </c>
      <c r="V86" t="str">
        <f>IF(DraftData[[#This Row],[Pick]]&lt;=5,"Top 5",
IF(DraftData[[#This Row],[Pick]]&lt;=14,"Lottery",
IF(DraftData[[#This Row],[Pick]]&lt;=20,"Mid First","Late First")))</f>
        <v>Late First</v>
      </c>
      <c r="W86" t="str">
        <f>IF(DraftData[[#This Row],[Win Shares]]&gt;=80,"Star",
IF(DraftData[[#This Row],[Win Shares]]&gt;=30,"Starter",
IF(DraftData[[#This Row],[Win Shares]]&gt;=10,"Rotation","Minimal")))</f>
        <v>Minimal</v>
      </c>
      <c r="X86" t="str">
        <f>IF(AND(DraftData[[#This Row],[Pick]]&lt;=14,DraftData[[#This Row],[Win Shares]]&lt;10),"Yes","No")</f>
        <v>No</v>
      </c>
      <c r="Y86" s="2">
        <f>DraftData[[#This Row],[Win Shares]]/DraftData[[#This Row],[Pick]]</f>
        <v>0</v>
      </c>
      <c r="Z86" s="2">
        <f>DraftData[[#This Row],[Win Shares]]-_xlfn.XLOOKUP(DraftData[[#This Row],[Pick]],'Lookup Tables'!$A$2:$A$31,'Lookup Tables'!$B$2:$B$31)</f>
        <v>-12.899999999999999</v>
      </c>
    </row>
    <row r="87" spans="1:26">
      <c r="A87">
        <v>2007</v>
      </c>
      <c r="B87">
        <v>26</v>
      </c>
      <c r="C87" t="s">
        <v>94</v>
      </c>
      <c r="D87" t="s">
        <v>193</v>
      </c>
      <c r="E87" t="s">
        <v>194</v>
      </c>
      <c r="F87">
        <v>645</v>
      </c>
      <c r="G87">
        <v>13439</v>
      </c>
      <c r="H87">
        <v>6259</v>
      </c>
      <c r="I87">
        <v>1079</v>
      </c>
      <c r="J87">
        <v>1925</v>
      </c>
      <c r="K87">
        <v>0.41299999999999998</v>
      </c>
      <c r="L87">
        <v>0.37</v>
      </c>
      <c r="M87">
        <v>0.83699999999999997</v>
      </c>
      <c r="N87">
        <v>19.2</v>
      </c>
      <c r="O87">
        <v>6.9000000000000006E-2</v>
      </c>
      <c r="P87">
        <v>-1.2</v>
      </c>
      <c r="Q87">
        <v>2.7</v>
      </c>
      <c r="R87">
        <v>20.8</v>
      </c>
      <c r="S87">
        <v>9.6999999999999993</v>
      </c>
      <c r="T87">
        <v>1.7</v>
      </c>
      <c r="U87">
        <v>3</v>
      </c>
      <c r="V87" t="str">
        <f>IF(DraftData[[#This Row],[Pick]]&lt;=5,"Top 5",
IF(DraftData[[#This Row],[Pick]]&lt;=14,"Lottery",
IF(DraftData[[#This Row],[Pick]]&lt;=20,"Mid First","Late First")))</f>
        <v>Late First</v>
      </c>
      <c r="W87" t="str">
        <f>IF(DraftData[[#This Row],[Win Shares]]&gt;=80,"Star",
IF(DraftData[[#This Row],[Win Shares]]&gt;=30,"Starter",
IF(DraftData[[#This Row],[Win Shares]]&gt;=10,"Rotation","Minimal")))</f>
        <v>Rotation</v>
      </c>
      <c r="X87" t="str">
        <f>IF(AND(DraftData[[#This Row],[Pick]]&lt;=14,DraftData[[#This Row],[Win Shares]]&lt;10),"Yes","No")</f>
        <v>No</v>
      </c>
      <c r="Y87" s="2">
        <f>DraftData[[#This Row],[Win Shares]]/DraftData[[#This Row],[Pick]]</f>
        <v>0.73846153846153839</v>
      </c>
      <c r="Z87" s="2">
        <f>DraftData[[#This Row],[Win Shares]]-_xlfn.XLOOKUP(DraftData[[#This Row],[Pick]],'Lookup Tables'!$A$2:$A$31,'Lookup Tables'!$B$2:$B$31)</f>
        <v>-1.2000000000000028</v>
      </c>
    </row>
    <row r="88" spans="1:26">
      <c r="A88">
        <v>2007</v>
      </c>
      <c r="B88">
        <v>27</v>
      </c>
      <c r="C88" t="s">
        <v>98</v>
      </c>
      <c r="D88" t="s">
        <v>195</v>
      </c>
      <c r="E88" t="s">
        <v>152</v>
      </c>
      <c r="F88">
        <v>762</v>
      </c>
      <c r="G88">
        <v>20829</v>
      </c>
      <c r="H88">
        <v>8198</v>
      </c>
      <c r="I88">
        <v>2176</v>
      </c>
      <c r="J88">
        <v>1386</v>
      </c>
      <c r="K88">
        <v>0.45</v>
      </c>
      <c r="L88">
        <v>0.38600000000000001</v>
      </c>
      <c r="M88">
        <v>0.82499999999999996</v>
      </c>
      <c r="N88">
        <v>33.5</v>
      </c>
      <c r="O88">
        <v>7.6999999999999999E-2</v>
      </c>
      <c r="P88">
        <v>-1.5</v>
      </c>
      <c r="Q88">
        <v>2.4</v>
      </c>
      <c r="R88">
        <v>27.3</v>
      </c>
      <c r="S88">
        <v>10.8</v>
      </c>
      <c r="T88">
        <v>2.9</v>
      </c>
      <c r="U88">
        <v>1.8</v>
      </c>
      <c r="V88" t="str">
        <f>IF(DraftData[[#This Row],[Pick]]&lt;=5,"Top 5",
IF(DraftData[[#This Row],[Pick]]&lt;=14,"Lottery",
IF(DraftData[[#This Row],[Pick]]&lt;=20,"Mid First","Late First")))</f>
        <v>Late First</v>
      </c>
      <c r="W88" t="str">
        <f>IF(DraftData[[#This Row],[Win Shares]]&gt;=80,"Star",
IF(DraftData[[#This Row],[Win Shares]]&gt;=30,"Starter",
IF(DraftData[[#This Row],[Win Shares]]&gt;=10,"Rotation","Minimal")))</f>
        <v>Starter</v>
      </c>
      <c r="X88" t="str">
        <f>IF(AND(DraftData[[#This Row],[Pick]]&lt;=14,DraftData[[#This Row],[Win Shares]]&lt;10),"Yes","No")</f>
        <v>No</v>
      </c>
      <c r="Y88" s="2">
        <f>DraftData[[#This Row],[Win Shares]]/DraftData[[#This Row],[Pick]]</f>
        <v>1.2407407407407407</v>
      </c>
      <c r="Z88" s="2">
        <f>DraftData[[#This Row],[Win Shares]]-_xlfn.XLOOKUP(DraftData[[#This Row],[Pick]],'Lookup Tables'!$A$2:$A$31,'Lookup Tables'!$B$2:$B$31)</f>
        <v>12.391666666666666</v>
      </c>
    </row>
    <row r="89" spans="1:26">
      <c r="A89">
        <v>2007</v>
      </c>
      <c r="B89">
        <v>28</v>
      </c>
      <c r="C89" t="s">
        <v>103</v>
      </c>
      <c r="D89" t="s">
        <v>196</v>
      </c>
      <c r="F89">
        <v>355</v>
      </c>
      <c r="G89">
        <v>6812</v>
      </c>
      <c r="H89">
        <v>2816</v>
      </c>
      <c r="I89">
        <v>1779</v>
      </c>
      <c r="J89">
        <v>423</v>
      </c>
      <c r="K89">
        <v>0.55500000000000005</v>
      </c>
      <c r="L89">
        <v>0.14299999999999999</v>
      </c>
      <c r="M89">
        <v>0.69699999999999995</v>
      </c>
      <c r="N89">
        <v>25.3</v>
      </c>
      <c r="O89">
        <v>0.17799999999999999</v>
      </c>
      <c r="P89">
        <v>1.1000000000000001</v>
      </c>
      <c r="Q89">
        <v>5.4</v>
      </c>
      <c r="R89">
        <v>19.2</v>
      </c>
      <c r="S89">
        <v>7.9</v>
      </c>
      <c r="T89">
        <v>5</v>
      </c>
      <c r="U89">
        <v>1.2</v>
      </c>
      <c r="V89" t="str">
        <f>IF(DraftData[[#This Row],[Pick]]&lt;=5,"Top 5",
IF(DraftData[[#This Row],[Pick]]&lt;=14,"Lottery",
IF(DraftData[[#This Row],[Pick]]&lt;=20,"Mid First","Late First")))</f>
        <v>Late First</v>
      </c>
      <c r="W89" t="str">
        <f>IF(DraftData[[#This Row],[Win Shares]]&gt;=80,"Star",
IF(DraftData[[#This Row],[Win Shares]]&gt;=30,"Starter",
IF(DraftData[[#This Row],[Win Shares]]&gt;=10,"Rotation","Minimal")))</f>
        <v>Rotation</v>
      </c>
      <c r="X89" t="str">
        <f>IF(AND(DraftData[[#This Row],[Pick]]&lt;=14,DraftData[[#This Row],[Win Shares]]&lt;10),"Yes","No")</f>
        <v>No</v>
      </c>
      <c r="Y89" s="2">
        <f>DraftData[[#This Row],[Win Shares]]/DraftData[[#This Row],[Pick]]</f>
        <v>0.90357142857142858</v>
      </c>
      <c r="Z89" s="2">
        <f>DraftData[[#This Row],[Win Shares]]-_xlfn.XLOOKUP(DraftData[[#This Row],[Pick]],'Lookup Tables'!$A$2:$A$31,'Lookup Tables'!$B$2:$B$31)</f>
        <v>16.654545454545456</v>
      </c>
    </row>
    <row r="90" spans="1:26">
      <c r="A90">
        <v>2007</v>
      </c>
      <c r="B90">
        <v>29</v>
      </c>
      <c r="C90" t="s">
        <v>86</v>
      </c>
      <c r="D90" t="s">
        <v>197</v>
      </c>
      <c r="E90" t="s">
        <v>198</v>
      </c>
      <c r="F90">
        <v>51</v>
      </c>
      <c r="G90">
        <v>426</v>
      </c>
      <c r="H90">
        <v>211</v>
      </c>
      <c r="I90">
        <v>49</v>
      </c>
      <c r="J90">
        <v>16</v>
      </c>
      <c r="K90">
        <v>0.42299999999999999</v>
      </c>
      <c r="L90">
        <v>0.29399999999999998</v>
      </c>
      <c r="M90">
        <v>0.78300000000000003</v>
      </c>
      <c r="N90">
        <v>0.4</v>
      </c>
      <c r="O90">
        <v>4.4999999999999998E-2</v>
      </c>
      <c r="P90">
        <v>-4.5</v>
      </c>
      <c r="Q90">
        <v>-0.3</v>
      </c>
      <c r="R90">
        <v>8.4</v>
      </c>
      <c r="S90">
        <v>4.0999999999999996</v>
      </c>
      <c r="T90">
        <v>1</v>
      </c>
      <c r="U90">
        <v>0.3</v>
      </c>
      <c r="V90" t="str">
        <f>IF(DraftData[[#This Row],[Pick]]&lt;=5,"Top 5",
IF(DraftData[[#This Row],[Pick]]&lt;=14,"Lottery",
IF(DraftData[[#This Row],[Pick]]&lt;=20,"Mid First","Late First")))</f>
        <v>Late First</v>
      </c>
      <c r="W90" t="str">
        <f>IF(DraftData[[#This Row],[Win Shares]]&gt;=80,"Star",
IF(DraftData[[#This Row],[Win Shares]]&gt;=30,"Starter",
IF(DraftData[[#This Row],[Win Shares]]&gt;=10,"Rotation","Minimal")))</f>
        <v>Minimal</v>
      </c>
      <c r="X90" t="str">
        <f>IF(AND(DraftData[[#This Row],[Pick]]&lt;=14,DraftData[[#This Row],[Win Shares]]&lt;10),"Yes","No")</f>
        <v>No</v>
      </c>
      <c r="Y90" s="2">
        <f>DraftData[[#This Row],[Win Shares]]/DraftData[[#This Row],[Pick]]</f>
        <v>1.3793103448275864E-2</v>
      </c>
      <c r="Z90" s="2">
        <f>DraftData[[#This Row],[Win Shares]]-_xlfn.XLOOKUP(DraftData[[#This Row],[Pick]],'Lookup Tables'!$A$2:$A$31,'Lookup Tables'!$B$2:$B$31)</f>
        <v>-4.666666666666667</v>
      </c>
    </row>
    <row r="91" spans="1:26">
      <c r="A91">
        <v>2007</v>
      </c>
      <c r="B91">
        <v>30</v>
      </c>
      <c r="C91" t="s">
        <v>129</v>
      </c>
      <c r="D91" t="s">
        <v>199</v>
      </c>
      <c r="V91" t="str">
        <f>IF(DraftData[[#This Row],[Pick]]&lt;=5,"Top 5",
IF(DraftData[[#This Row],[Pick]]&lt;=14,"Lottery",
IF(DraftData[[#This Row],[Pick]]&lt;=20,"Mid First","Late First")))</f>
        <v>Late First</v>
      </c>
      <c r="W91" t="str">
        <f>IF(DraftData[[#This Row],[Win Shares]]&gt;=80,"Star",
IF(DraftData[[#This Row],[Win Shares]]&gt;=30,"Starter",
IF(DraftData[[#This Row],[Win Shares]]&gt;=10,"Rotation","Minimal")))</f>
        <v>Minimal</v>
      </c>
      <c r="X91" t="str">
        <f>IF(AND(DraftData[[#This Row],[Pick]]&lt;=14,DraftData[[#This Row],[Win Shares]]&lt;10),"Yes","No")</f>
        <v>No</v>
      </c>
      <c r="Y91" s="2">
        <f>DraftData[[#This Row],[Win Shares]]/DraftData[[#This Row],[Pick]]</f>
        <v>0</v>
      </c>
      <c r="Z91" s="2">
        <f>DraftData[[#This Row],[Win Shares]]-_xlfn.XLOOKUP(DraftData[[#This Row],[Pick]],'Lookup Tables'!$A$2:$A$31,'Lookup Tables'!$B$2:$B$31)</f>
        <v>-20.718181818181815</v>
      </c>
    </row>
    <row r="92" spans="1:26">
      <c r="A92">
        <v>2008</v>
      </c>
      <c r="B92">
        <v>1</v>
      </c>
      <c r="C92" t="s">
        <v>111</v>
      </c>
      <c r="D92" t="s">
        <v>200</v>
      </c>
      <c r="E92" t="s">
        <v>135</v>
      </c>
      <c r="F92">
        <v>672</v>
      </c>
      <c r="G92">
        <v>21317</v>
      </c>
      <c r="H92">
        <v>12230</v>
      </c>
      <c r="I92">
        <v>2239</v>
      </c>
      <c r="J92">
        <v>3646</v>
      </c>
      <c r="K92">
        <v>0.45700000000000002</v>
      </c>
      <c r="L92">
        <v>0.316</v>
      </c>
      <c r="M92">
        <v>0.83</v>
      </c>
      <c r="N92">
        <v>44.2</v>
      </c>
      <c r="O92">
        <v>0.1</v>
      </c>
      <c r="P92">
        <v>1.4</v>
      </c>
      <c r="Q92">
        <v>18.399999999999999</v>
      </c>
      <c r="R92">
        <v>31.7</v>
      </c>
      <c r="S92">
        <v>18.2</v>
      </c>
      <c r="T92">
        <v>3.3</v>
      </c>
      <c r="U92">
        <v>5.4</v>
      </c>
      <c r="V92" t="str">
        <f>IF(DraftData[[#This Row],[Pick]]&lt;=5,"Top 5",
IF(DraftData[[#This Row],[Pick]]&lt;=14,"Lottery",
IF(DraftData[[#This Row],[Pick]]&lt;=20,"Mid First","Late First")))</f>
        <v>Top 5</v>
      </c>
      <c r="W92" t="str">
        <f>IF(DraftData[[#This Row],[Win Shares]]&gt;=80,"Star",
IF(DraftData[[#This Row],[Win Shares]]&gt;=30,"Starter",
IF(DraftData[[#This Row],[Win Shares]]&gt;=10,"Rotation","Minimal")))</f>
        <v>Starter</v>
      </c>
      <c r="X92" t="str">
        <f>IF(AND(DraftData[[#This Row],[Pick]]&lt;=14,DraftData[[#This Row],[Win Shares]]&lt;10),"Yes","No")</f>
        <v>No</v>
      </c>
      <c r="Y92" s="2">
        <f>DraftData[[#This Row],[Win Shares]]/DraftData[[#This Row],[Pick]]</f>
        <v>44.2</v>
      </c>
      <c r="Z92" s="2">
        <f>DraftData[[#This Row],[Win Shares]]-_xlfn.XLOOKUP(DraftData[[#This Row],[Pick]],'Lookup Tables'!$A$2:$A$31,'Lookup Tables'!$B$2:$B$31)</f>
        <v>0.61666666666666714</v>
      </c>
    </row>
    <row r="93" spans="1:26">
      <c r="A93">
        <v>2008</v>
      </c>
      <c r="B93">
        <v>2</v>
      </c>
      <c r="C93" t="s">
        <v>105</v>
      </c>
      <c r="D93" t="s">
        <v>201</v>
      </c>
      <c r="E93" t="s">
        <v>202</v>
      </c>
      <c r="F93">
        <v>609</v>
      </c>
      <c r="G93">
        <v>13903</v>
      </c>
      <c r="H93">
        <v>7568</v>
      </c>
      <c r="I93">
        <v>2861</v>
      </c>
      <c r="J93">
        <v>788</v>
      </c>
      <c r="K93">
        <v>0.46500000000000002</v>
      </c>
      <c r="L93">
        <v>0.34899999999999998</v>
      </c>
      <c r="M93">
        <v>0.75900000000000001</v>
      </c>
      <c r="N93">
        <v>15.6</v>
      </c>
      <c r="O93">
        <v>5.3999999999999999E-2</v>
      </c>
      <c r="P93">
        <v>-1.7</v>
      </c>
      <c r="Q93">
        <v>0.9</v>
      </c>
      <c r="R93">
        <v>22.8</v>
      </c>
      <c r="S93">
        <v>12.4</v>
      </c>
      <c r="T93">
        <v>4.7</v>
      </c>
      <c r="U93">
        <v>1.3</v>
      </c>
      <c r="V93" t="str">
        <f>IF(DraftData[[#This Row],[Pick]]&lt;=5,"Top 5",
IF(DraftData[[#This Row],[Pick]]&lt;=14,"Lottery",
IF(DraftData[[#This Row],[Pick]]&lt;=20,"Mid First","Late First")))</f>
        <v>Top 5</v>
      </c>
      <c r="W93" t="str">
        <f>IF(DraftData[[#This Row],[Win Shares]]&gt;=80,"Star",
IF(DraftData[[#This Row],[Win Shares]]&gt;=30,"Starter",
IF(DraftData[[#This Row],[Win Shares]]&gt;=10,"Rotation","Minimal")))</f>
        <v>Rotation</v>
      </c>
      <c r="X93" t="str">
        <f>IF(AND(DraftData[[#This Row],[Pick]]&lt;=14,DraftData[[#This Row],[Win Shares]]&lt;10),"Yes","No")</f>
        <v>No</v>
      </c>
      <c r="Y93" s="2">
        <f>DraftData[[#This Row],[Win Shares]]/DraftData[[#This Row],[Pick]]</f>
        <v>7.8</v>
      </c>
      <c r="Z93" s="2">
        <f>DraftData[[#This Row],[Win Shares]]-_xlfn.XLOOKUP(DraftData[[#This Row],[Pick]],'Lookup Tables'!$A$2:$A$31,'Lookup Tables'!$B$2:$B$31)</f>
        <v>-24.191666666666663</v>
      </c>
    </row>
    <row r="94" spans="1:26">
      <c r="A94">
        <v>2008</v>
      </c>
      <c r="B94">
        <v>3</v>
      </c>
      <c r="C94" t="s">
        <v>68</v>
      </c>
      <c r="D94" t="s">
        <v>203</v>
      </c>
      <c r="E94" t="s">
        <v>179</v>
      </c>
      <c r="F94">
        <v>547</v>
      </c>
      <c r="G94">
        <v>16919</v>
      </c>
      <c r="H94">
        <v>7574</v>
      </c>
      <c r="I94">
        <v>1706</v>
      </c>
      <c r="J94">
        <v>1607</v>
      </c>
      <c r="K94">
        <v>0.42899999999999999</v>
      </c>
      <c r="L94">
        <v>0.373</v>
      </c>
      <c r="M94">
        <v>0.82</v>
      </c>
      <c r="N94">
        <v>21.8</v>
      </c>
      <c r="O94">
        <v>6.2E-2</v>
      </c>
      <c r="P94">
        <v>-0.9</v>
      </c>
      <c r="Q94">
        <v>4.7</v>
      </c>
      <c r="R94">
        <v>30.9</v>
      </c>
      <c r="S94">
        <v>13.8</v>
      </c>
      <c r="T94">
        <v>3.1</v>
      </c>
      <c r="U94">
        <v>2.9</v>
      </c>
      <c r="V94" t="str">
        <f>IF(DraftData[[#This Row],[Pick]]&lt;=5,"Top 5",
IF(DraftData[[#This Row],[Pick]]&lt;=14,"Lottery",
IF(DraftData[[#This Row],[Pick]]&lt;=20,"Mid First","Late First")))</f>
        <v>Top 5</v>
      </c>
      <c r="W94" t="str">
        <f>IF(DraftData[[#This Row],[Win Shares]]&gt;=80,"Star",
IF(DraftData[[#This Row],[Win Shares]]&gt;=30,"Starter",
IF(DraftData[[#This Row],[Win Shares]]&gt;=10,"Rotation","Minimal")))</f>
        <v>Rotation</v>
      </c>
      <c r="X94" t="str">
        <f>IF(AND(DraftData[[#This Row],[Pick]]&lt;=14,DraftData[[#This Row],[Win Shares]]&lt;10),"Yes","No")</f>
        <v>No</v>
      </c>
      <c r="Y94" s="2">
        <f>DraftData[[#This Row],[Win Shares]]/DraftData[[#This Row],[Pick]]</f>
        <v>7.2666666666666666</v>
      </c>
      <c r="Z94" s="2">
        <f>DraftData[[#This Row],[Win Shares]]-_xlfn.XLOOKUP(DraftData[[#This Row],[Pick]],'Lookup Tables'!$A$2:$A$31,'Lookup Tables'!$B$2:$B$31)</f>
        <v>-28.966666666666672</v>
      </c>
    </row>
    <row r="95" spans="1:26">
      <c r="A95">
        <v>2008</v>
      </c>
      <c r="B95">
        <v>4</v>
      </c>
      <c r="C95" t="s">
        <v>96</v>
      </c>
      <c r="D95" t="s">
        <v>204</v>
      </c>
      <c r="E95" t="s">
        <v>152</v>
      </c>
      <c r="F95">
        <v>1000</v>
      </c>
      <c r="G95">
        <v>34718</v>
      </c>
      <c r="H95">
        <v>22899</v>
      </c>
      <c r="I95">
        <v>7405</v>
      </c>
      <c r="J95">
        <v>8491</v>
      </c>
      <c r="K95">
        <v>0.437</v>
      </c>
      <c r="L95">
        <v>0.30499999999999999</v>
      </c>
      <c r="M95">
        <v>0.78500000000000003</v>
      </c>
      <c r="N95">
        <v>106.4</v>
      </c>
      <c r="O95">
        <v>0.14699999999999999</v>
      </c>
      <c r="P95">
        <v>4.4000000000000004</v>
      </c>
      <c r="Q95">
        <v>55.8</v>
      </c>
      <c r="R95">
        <v>34.700000000000003</v>
      </c>
      <c r="S95">
        <v>22.9</v>
      </c>
      <c r="T95">
        <v>7.4</v>
      </c>
      <c r="U95">
        <v>8.5</v>
      </c>
      <c r="V95" t="str">
        <f>IF(DraftData[[#This Row],[Pick]]&lt;=5,"Top 5",
IF(DraftData[[#This Row],[Pick]]&lt;=14,"Lottery",
IF(DraftData[[#This Row],[Pick]]&lt;=20,"Mid First","Late First")))</f>
        <v>Top 5</v>
      </c>
      <c r="W95" t="str">
        <f>IF(DraftData[[#This Row],[Win Shares]]&gt;=80,"Star",
IF(DraftData[[#This Row],[Win Shares]]&gt;=30,"Starter",
IF(DraftData[[#This Row],[Win Shares]]&gt;=10,"Rotation","Minimal")))</f>
        <v>Star</v>
      </c>
      <c r="X95" t="str">
        <f>IF(AND(DraftData[[#This Row],[Pick]]&lt;=14,DraftData[[#This Row],[Win Shares]]&lt;10),"Yes","No")</f>
        <v>No</v>
      </c>
      <c r="Y95" s="2">
        <f>DraftData[[#This Row],[Win Shares]]/DraftData[[#This Row],[Pick]]</f>
        <v>26.6</v>
      </c>
      <c r="Z95" s="2">
        <f>DraftData[[#This Row],[Win Shares]]-_xlfn.XLOOKUP(DraftData[[#This Row],[Pick]],'Lookup Tables'!$A$2:$A$31,'Lookup Tables'!$B$2:$B$31)</f>
        <v>57.841666666666669</v>
      </c>
    </row>
    <row r="96" spans="1:26">
      <c r="A96">
        <v>2008</v>
      </c>
      <c r="B96">
        <v>5</v>
      </c>
      <c r="C96" t="s">
        <v>80</v>
      </c>
      <c r="D96" t="s">
        <v>205</v>
      </c>
      <c r="E96" t="s">
        <v>152</v>
      </c>
      <c r="F96">
        <v>788</v>
      </c>
      <c r="G96">
        <v>24542</v>
      </c>
      <c r="H96">
        <v>14013</v>
      </c>
      <c r="I96">
        <v>8497</v>
      </c>
      <c r="J96">
        <v>1867</v>
      </c>
      <c r="K96">
        <v>0.441</v>
      </c>
      <c r="L96">
        <v>0.372</v>
      </c>
      <c r="M96">
        <v>0.82899999999999996</v>
      </c>
      <c r="N96">
        <v>87.5</v>
      </c>
      <c r="O96">
        <v>0.17100000000000001</v>
      </c>
      <c r="P96">
        <v>3.4</v>
      </c>
      <c r="Q96">
        <v>33.5</v>
      </c>
      <c r="R96">
        <v>31.1</v>
      </c>
      <c r="S96">
        <v>17.8</v>
      </c>
      <c r="T96">
        <v>10.8</v>
      </c>
      <c r="U96">
        <v>2.4</v>
      </c>
      <c r="V96" t="str">
        <f>IF(DraftData[[#This Row],[Pick]]&lt;=5,"Top 5",
IF(DraftData[[#This Row],[Pick]]&lt;=14,"Lottery",
IF(DraftData[[#This Row],[Pick]]&lt;=20,"Mid First","Late First")))</f>
        <v>Top 5</v>
      </c>
      <c r="W96" t="str">
        <f>IF(DraftData[[#This Row],[Win Shares]]&gt;=80,"Star",
IF(DraftData[[#This Row],[Win Shares]]&gt;=30,"Starter",
IF(DraftData[[#This Row],[Win Shares]]&gt;=10,"Rotation","Minimal")))</f>
        <v>Star</v>
      </c>
      <c r="X96" t="str">
        <f>IF(AND(DraftData[[#This Row],[Pick]]&lt;=14,DraftData[[#This Row],[Win Shares]]&lt;10),"Yes","No")</f>
        <v>No</v>
      </c>
      <c r="Y96" s="2">
        <f>DraftData[[#This Row],[Win Shares]]/DraftData[[#This Row],[Pick]]</f>
        <v>17.5</v>
      </c>
      <c r="Z96" s="2">
        <f>DraftData[[#This Row],[Win Shares]]-_xlfn.XLOOKUP(DraftData[[#This Row],[Pick]],'Lookup Tables'!$A$2:$A$31,'Lookup Tables'!$B$2:$B$31)</f>
        <v>56.141666666666666</v>
      </c>
    </row>
    <row r="97" spans="1:26">
      <c r="A97">
        <v>2008</v>
      </c>
      <c r="B97">
        <v>6</v>
      </c>
      <c r="C97" t="s">
        <v>55</v>
      </c>
      <c r="D97" t="s">
        <v>206</v>
      </c>
      <c r="F97">
        <v>709</v>
      </c>
      <c r="G97">
        <v>21209</v>
      </c>
      <c r="H97">
        <v>11053</v>
      </c>
      <c r="I97">
        <v>3408</v>
      </c>
      <c r="J97">
        <v>1377</v>
      </c>
      <c r="K97">
        <v>0.42699999999999999</v>
      </c>
      <c r="L97">
        <v>0.38300000000000001</v>
      </c>
      <c r="M97">
        <v>0.877</v>
      </c>
      <c r="N97">
        <v>62.9</v>
      </c>
      <c r="O97">
        <v>0.14199999999999999</v>
      </c>
      <c r="P97">
        <v>1.8</v>
      </c>
      <c r="Q97">
        <v>20.5</v>
      </c>
      <c r="R97">
        <v>29.9</v>
      </c>
      <c r="S97">
        <v>15.6</v>
      </c>
      <c r="T97">
        <v>4.8</v>
      </c>
      <c r="U97">
        <v>1.9</v>
      </c>
      <c r="V97" t="str">
        <f>IF(DraftData[[#This Row],[Pick]]&lt;=5,"Top 5",
IF(DraftData[[#This Row],[Pick]]&lt;=14,"Lottery",
IF(DraftData[[#This Row],[Pick]]&lt;=20,"Mid First","Late First")))</f>
        <v>Lottery</v>
      </c>
      <c r="W97" t="str">
        <f>IF(DraftData[[#This Row],[Win Shares]]&gt;=80,"Star",
IF(DraftData[[#This Row],[Win Shares]]&gt;=30,"Starter",
IF(DraftData[[#This Row],[Win Shares]]&gt;=10,"Rotation","Minimal")))</f>
        <v>Starter</v>
      </c>
      <c r="X97" t="str">
        <f>IF(AND(DraftData[[#This Row],[Pick]]&lt;=14,DraftData[[#This Row],[Win Shares]]&lt;10),"Yes","No")</f>
        <v>No</v>
      </c>
      <c r="Y97" s="2">
        <f>DraftData[[#This Row],[Win Shares]]/DraftData[[#This Row],[Pick]]</f>
        <v>10.483333333333333</v>
      </c>
      <c r="Z97" s="2">
        <f>DraftData[[#This Row],[Win Shares]]-_xlfn.XLOOKUP(DraftData[[#This Row],[Pick]],'Lookup Tables'!$A$2:$A$31,'Lookup Tables'!$B$2:$B$31)</f>
        <v>35.24166666666666</v>
      </c>
    </row>
    <row r="98" spans="1:26">
      <c r="A98">
        <v>2008</v>
      </c>
      <c r="B98">
        <v>7</v>
      </c>
      <c r="C98" t="s">
        <v>65</v>
      </c>
      <c r="D98" t="s">
        <v>207</v>
      </c>
      <c r="E98" t="s">
        <v>208</v>
      </c>
      <c r="F98">
        <v>739</v>
      </c>
      <c r="G98">
        <v>23982</v>
      </c>
      <c r="H98">
        <v>12169</v>
      </c>
      <c r="I98">
        <v>1793</v>
      </c>
      <c r="J98">
        <v>2107</v>
      </c>
      <c r="K98">
        <v>0.42799999999999999</v>
      </c>
      <c r="L98">
        <v>0.37</v>
      </c>
      <c r="M98">
        <v>0.81</v>
      </c>
      <c r="N98">
        <v>36.299999999999997</v>
      </c>
      <c r="O98">
        <v>7.2999999999999995E-2</v>
      </c>
      <c r="P98">
        <v>-0.5</v>
      </c>
      <c r="Q98">
        <v>8.9</v>
      </c>
      <c r="R98">
        <v>32.5</v>
      </c>
      <c r="S98">
        <v>16.5</v>
      </c>
      <c r="T98">
        <v>2.4</v>
      </c>
      <c r="U98">
        <v>2.9</v>
      </c>
      <c r="V98" t="str">
        <f>IF(DraftData[[#This Row],[Pick]]&lt;=5,"Top 5",
IF(DraftData[[#This Row],[Pick]]&lt;=14,"Lottery",
IF(DraftData[[#This Row],[Pick]]&lt;=20,"Mid First","Late First")))</f>
        <v>Lottery</v>
      </c>
      <c r="W98" t="str">
        <f>IF(DraftData[[#This Row],[Win Shares]]&gt;=80,"Star",
IF(DraftData[[#This Row],[Win Shares]]&gt;=30,"Starter",
IF(DraftData[[#This Row],[Win Shares]]&gt;=10,"Rotation","Minimal")))</f>
        <v>Starter</v>
      </c>
      <c r="X98" t="str">
        <f>IF(AND(DraftData[[#This Row],[Pick]]&lt;=14,DraftData[[#This Row],[Win Shares]]&lt;10),"Yes","No")</f>
        <v>No</v>
      </c>
      <c r="Y98" s="2">
        <f>DraftData[[#This Row],[Win Shares]]/DraftData[[#This Row],[Pick]]</f>
        <v>5.1857142857142851</v>
      </c>
      <c r="Z98" s="2">
        <f>DraftData[[#This Row],[Win Shares]]-_xlfn.XLOOKUP(DraftData[[#This Row],[Pick]],'Lookup Tables'!$A$2:$A$31,'Lookup Tables'!$B$2:$B$31)</f>
        <v>2.3249999999999886</v>
      </c>
    </row>
    <row r="99" spans="1:26">
      <c r="A99">
        <v>2008</v>
      </c>
      <c r="B99">
        <v>8</v>
      </c>
      <c r="C99" t="s">
        <v>36</v>
      </c>
      <c r="D99" t="s">
        <v>209</v>
      </c>
      <c r="E99" t="s">
        <v>210</v>
      </c>
      <c r="F99">
        <v>67</v>
      </c>
      <c r="G99">
        <v>745</v>
      </c>
      <c r="H99">
        <v>282</v>
      </c>
      <c r="I99">
        <v>120</v>
      </c>
      <c r="J99">
        <v>44</v>
      </c>
      <c r="K99">
        <v>0.41</v>
      </c>
      <c r="L99">
        <v>0.34</v>
      </c>
      <c r="M99">
        <v>0.69799999999999995</v>
      </c>
      <c r="N99">
        <v>0.5</v>
      </c>
      <c r="O99">
        <v>0.03</v>
      </c>
      <c r="P99">
        <v>-3.6</v>
      </c>
      <c r="Q99">
        <v>-0.3</v>
      </c>
      <c r="R99">
        <v>11.1</v>
      </c>
      <c r="S99">
        <v>4.2</v>
      </c>
      <c r="T99">
        <v>1.8</v>
      </c>
      <c r="U99">
        <v>0.7</v>
      </c>
      <c r="V99" t="str">
        <f>IF(DraftData[[#This Row],[Pick]]&lt;=5,"Top 5",
IF(DraftData[[#This Row],[Pick]]&lt;=14,"Lottery",
IF(DraftData[[#This Row],[Pick]]&lt;=20,"Mid First","Late First")))</f>
        <v>Lottery</v>
      </c>
      <c r="W99" t="str">
        <f>IF(DraftData[[#This Row],[Win Shares]]&gt;=80,"Star",
IF(DraftData[[#This Row],[Win Shares]]&gt;=30,"Starter",
IF(DraftData[[#This Row],[Win Shares]]&gt;=10,"Rotation","Minimal")))</f>
        <v>Minimal</v>
      </c>
      <c r="X99" t="str">
        <f>IF(AND(DraftData[[#This Row],[Pick]]&lt;=14,DraftData[[#This Row],[Win Shares]]&lt;10),"Yes","No")</f>
        <v>Yes</v>
      </c>
      <c r="Y99" s="2">
        <f>DraftData[[#This Row],[Win Shares]]/DraftData[[#This Row],[Pick]]</f>
        <v>6.25E-2</v>
      </c>
      <c r="Z99" s="2">
        <f>DraftData[[#This Row],[Win Shares]]-_xlfn.XLOOKUP(DraftData[[#This Row],[Pick]],'Lookup Tables'!$A$2:$A$31,'Lookup Tables'!$B$2:$B$31)</f>
        <v>-20.658333333333331</v>
      </c>
    </row>
    <row r="100" spans="1:26">
      <c r="A100">
        <v>2008</v>
      </c>
      <c r="B100">
        <v>9</v>
      </c>
      <c r="C100" t="s">
        <v>48</v>
      </c>
      <c r="D100" t="s">
        <v>211</v>
      </c>
      <c r="E100" t="s">
        <v>113</v>
      </c>
      <c r="F100">
        <v>955</v>
      </c>
      <c r="G100">
        <v>22478</v>
      </c>
      <c r="H100">
        <v>9147</v>
      </c>
      <c r="I100">
        <v>1778</v>
      </c>
      <c r="J100">
        <v>3728</v>
      </c>
      <c r="K100">
        <v>0.41099999999999998</v>
      </c>
      <c r="L100">
        <v>0.38</v>
      </c>
      <c r="M100">
        <v>0.86699999999999999</v>
      </c>
      <c r="N100">
        <v>47</v>
      </c>
      <c r="O100">
        <v>0.1</v>
      </c>
      <c r="P100">
        <v>-0.7</v>
      </c>
      <c r="Q100">
        <v>7.6</v>
      </c>
      <c r="R100">
        <v>23.5</v>
      </c>
      <c r="S100">
        <v>9.6</v>
      </c>
      <c r="T100">
        <v>1.9</v>
      </c>
      <c r="U100">
        <v>3.9</v>
      </c>
      <c r="V100" t="str">
        <f>IF(DraftData[[#This Row],[Pick]]&lt;=5,"Top 5",
IF(DraftData[[#This Row],[Pick]]&lt;=14,"Lottery",
IF(DraftData[[#This Row],[Pick]]&lt;=20,"Mid First","Late First")))</f>
        <v>Lottery</v>
      </c>
      <c r="W100" t="str">
        <f>IF(DraftData[[#This Row],[Win Shares]]&gt;=80,"Star",
IF(DraftData[[#This Row],[Win Shares]]&gt;=30,"Starter",
IF(DraftData[[#This Row],[Win Shares]]&gt;=10,"Rotation","Minimal")))</f>
        <v>Starter</v>
      </c>
      <c r="X100" t="str">
        <f>IF(AND(DraftData[[#This Row],[Pick]]&lt;=14,DraftData[[#This Row],[Win Shares]]&lt;10),"Yes","No")</f>
        <v>No</v>
      </c>
      <c r="Y100" s="2">
        <f>DraftData[[#This Row],[Win Shares]]/DraftData[[#This Row],[Pick]]</f>
        <v>5.2222222222222223</v>
      </c>
      <c r="Z100" s="2">
        <f>DraftData[[#This Row],[Win Shares]]-_xlfn.XLOOKUP(DraftData[[#This Row],[Pick]],'Lookup Tables'!$A$2:$A$31,'Lookup Tables'!$B$2:$B$31)</f>
        <v>9.6083333333333343</v>
      </c>
    </row>
    <row r="101" spans="1:26">
      <c r="A101">
        <v>2008</v>
      </c>
      <c r="B101">
        <v>10</v>
      </c>
      <c r="C101" t="s">
        <v>70</v>
      </c>
      <c r="D101" t="s">
        <v>212</v>
      </c>
      <c r="E101" t="s">
        <v>213</v>
      </c>
      <c r="F101">
        <v>856</v>
      </c>
      <c r="G101">
        <v>25922</v>
      </c>
      <c r="H101">
        <v>14094</v>
      </c>
      <c r="I101">
        <v>5359</v>
      </c>
      <c r="J101">
        <v>1240</v>
      </c>
      <c r="K101">
        <v>0.49399999999999999</v>
      </c>
      <c r="L101">
        <v>0.34</v>
      </c>
      <c r="M101">
        <v>0.79600000000000004</v>
      </c>
      <c r="N101">
        <v>70.900000000000006</v>
      </c>
      <c r="O101">
        <v>0.13100000000000001</v>
      </c>
      <c r="P101">
        <v>1.3</v>
      </c>
      <c r="Q101">
        <v>21.6</v>
      </c>
      <c r="R101">
        <v>30.3</v>
      </c>
      <c r="S101">
        <v>16.5</v>
      </c>
      <c r="T101">
        <v>6.3</v>
      </c>
      <c r="U101">
        <v>1.4</v>
      </c>
      <c r="V101" t="str">
        <f>IF(DraftData[[#This Row],[Pick]]&lt;=5,"Top 5",
IF(DraftData[[#This Row],[Pick]]&lt;=14,"Lottery",
IF(DraftData[[#This Row],[Pick]]&lt;=20,"Mid First","Late First")))</f>
        <v>Lottery</v>
      </c>
      <c r="W101" t="str">
        <f>IF(DraftData[[#This Row],[Win Shares]]&gt;=80,"Star",
IF(DraftData[[#This Row],[Win Shares]]&gt;=30,"Starter",
IF(DraftData[[#This Row],[Win Shares]]&gt;=10,"Rotation","Minimal")))</f>
        <v>Starter</v>
      </c>
      <c r="X101" t="str">
        <f>IF(AND(DraftData[[#This Row],[Pick]]&lt;=14,DraftData[[#This Row],[Win Shares]]&lt;10),"Yes","No")</f>
        <v>No</v>
      </c>
      <c r="Y101" s="2">
        <f>DraftData[[#This Row],[Win Shares]]/DraftData[[#This Row],[Pick]]</f>
        <v>7.0900000000000007</v>
      </c>
      <c r="Z101" s="2">
        <f>DraftData[[#This Row],[Win Shares]]-_xlfn.XLOOKUP(DraftData[[#This Row],[Pick]],'Lookup Tables'!$A$2:$A$31,'Lookup Tables'!$B$2:$B$31)</f>
        <v>44.050000000000011</v>
      </c>
    </row>
    <row r="102" spans="1:26">
      <c r="A102">
        <v>2008</v>
      </c>
      <c r="B102">
        <v>11</v>
      </c>
      <c r="C102" t="s">
        <v>75</v>
      </c>
      <c r="D102" t="s">
        <v>214</v>
      </c>
      <c r="E102" t="s">
        <v>57</v>
      </c>
      <c r="F102">
        <v>586</v>
      </c>
      <c r="G102">
        <v>12486</v>
      </c>
      <c r="H102">
        <v>4909</v>
      </c>
      <c r="I102">
        <v>1235</v>
      </c>
      <c r="J102">
        <v>1674</v>
      </c>
      <c r="K102">
        <v>0.41099999999999998</v>
      </c>
      <c r="L102">
        <v>0.36099999999999999</v>
      </c>
      <c r="M102">
        <v>0.81799999999999995</v>
      </c>
      <c r="N102">
        <v>18.600000000000001</v>
      </c>
      <c r="O102">
        <v>7.1999999999999995E-2</v>
      </c>
      <c r="P102">
        <v>-1.6</v>
      </c>
      <c r="Q102">
        <v>1.1000000000000001</v>
      </c>
      <c r="R102">
        <v>21.3</v>
      </c>
      <c r="S102">
        <v>8.4</v>
      </c>
      <c r="T102">
        <v>2.1</v>
      </c>
      <c r="U102">
        <v>2.9</v>
      </c>
      <c r="V102" t="str">
        <f>IF(DraftData[[#This Row],[Pick]]&lt;=5,"Top 5",
IF(DraftData[[#This Row],[Pick]]&lt;=14,"Lottery",
IF(DraftData[[#This Row],[Pick]]&lt;=20,"Mid First","Late First")))</f>
        <v>Lottery</v>
      </c>
      <c r="W102" t="str">
        <f>IF(DraftData[[#This Row],[Win Shares]]&gt;=80,"Star",
IF(DraftData[[#This Row],[Win Shares]]&gt;=30,"Starter",
IF(DraftData[[#This Row],[Win Shares]]&gt;=10,"Rotation","Minimal")))</f>
        <v>Rotation</v>
      </c>
      <c r="X102" t="str">
        <f>IF(AND(DraftData[[#This Row],[Pick]]&lt;=14,DraftData[[#This Row],[Win Shares]]&lt;10),"Yes","No")</f>
        <v>No</v>
      </c>
      <c r="Y102" s="2">
        <f>DraftData[[#This Row],[Win Shares]]/DraftData[[#This Row],[Pick]]</f>
        <v>1.6909090909090911</v>
      </c>
      <c r="Z102" s="2">
        <f>DraftData[[#This Row],[Win Shares]]-_xlfn.XLOOKUP(DraftData[[#This Row],[Pick]],'Lookup Tables'!$A$2:$A$31,'Lookup Tables'!$B$2:$B$31)</f>
        <v>-4.0999999999999979</v>
      </c>
    </row>
    <row r="103" spans="1:26">
      <c r="A103">
        <v>2008</v>
      </c>
      <c r="B103">
        <v>12</v>
      </c>
      <c r="C103" t="s">
        <v>91</v>
      </c>
      <c r="D103" t="s">
        <v>215</v>
      </c>
      <c r="E103" t="s">
        <v>216</v>
      </c>
      <c r="F103">
        <v>588</v>
      </c>
      <c r="G103">
        <v>14819</v>
      </c>
      <c r="H103">
        <v>5210</v>
      </c>
      <c r="I103">
        <v>3880</v>
      </c>
      <c r="J103">
        <v>635</v>
      </c>
      <c r="K103">
        <v>0.496</v>
      </c>
      <c r="L103">
        <v>0.14299999999999999</v>
      </c>
      <c r="M103">
        <v>0.65700000000000003</v>
      </c>
      <c r="N103">
        <v>23.8</v>
      </c>
      <c r="O103">
        <v>7.6999999999999999E-2</v>
      </c>
      <c r="P103">
        <v>-2.6</v>
      </c>
      <c r="Q103">
        <v>-2.4</v>
      </c>
      <c r="R103">
        <v>25.2</v>
      </c>
      <c r="S103">
        <v>8.9</v>
      </c>
      <c r="T103">
        <v>6.6</v>
      </c>
      <c r="U103">
        <v>1.1000000000000001</v>
      </c>
      <c r="V103" t="str">
        <f>IF(DraftData[[#This Row],[Pick]]&lt;=5,"Top 5",
IF(DraftData[[#This Row],[Pick]]&lt;=14,"Lottery",
IF(DraftData[[#This Row],[Pick]]&lt;=20,"Mid First","Late First")))</f>
        <v>Lottery</v>
      </c>
      <c r="W103" t="str">
        <f>IF(DraftData[[#This Row],[Win Shares]]&gt;=80,"Star",
IF(DraftData[[#This Row],[Win Shares]]&gt;=30,"Starter",
IF(DraftData[[#This Row],[Win Shares]]&gt;=10,"Rotation","Minimal")))</f>
        <v>Rotation</v>
      </c>
      <c r="X103" t="str">
        <f>IF(AND(DraftData[[#This Row],[Pick]]&lt;=14,DraftData[[#This Row],[Win Shares]]&lt;10),"Yes","No")</f>
        <v>No</v>
      </c>
      <c r="Y103" s="2">
        <f>DraftData[[#This Row],[Win Shares]]/DraftData[[#This Row],[Pick]]</f>
        <v>1.9833333333333334</v>
      </c>
      <c r="Z103" s="2">
        <f>DraftData[[#This Row],[Win Shares]]-_xlfn.XLOOKUP(DraftData[[#This Row],[Pick]],'Lookup Tables'!$A$2:$A$31,'Lookup Tables'!$B$2:$B$31)</f>
        <v>2.4833333333333343</v>
      </c>
    </row>
    <row r="104" spans="1:26">
      <c r="A104">
        <v>2008</v>
      </c>
      <c r="B104">
        <v>13</v>
      </c>
      <c r="C104" t="s">
        <v>50</v>
      </c>
      <c r="D104" t="s">
        <v>217</v>
      </c>
      <c r="E104" t="s">
        <v>107</v>
      </c>
      <c r="F104">
        <v>481</v>
      </c>
      <c r="G104">
        <v>10564</v>
      </c>
      <c r="H104">
        <v>3250</v>
      </c>
      <c r="I104">
        <v>1413</v>
      </c>
      <c r="J104">
        <v>468</v>
      </c>
      <c r="K104">
        <v>0.42599999999999999</v>
      </c>
      <c r="L104">
        <v>0.40200000000000002</v>
      </c>
      <c r="M104">
        <v>0.70599999999999996</v>
      </c>
      <c r="N104">
        <v>11.2</v>
      </c>
      <c r="O104">
        <v>5.0999999999999997E-2</v>
      </c>
      <c r="P104">
        <v>-1.4</v>
      </c>
      <c r="Q104">
        <v>1.6</v>
      </c>
      <c r="R104">
        <v>22</v>
      </c>
      <c r="S104">
        <v>6.8</v>
      </c>
      <c r="T104">
        <v>2.9</v>
      </c>
      <c r="U104">
        <v>1</v>
      </c>
      <c r="V104" t="str">
        <f>IF(DraftData[[#This Row],[Pick]]&lt;=5,"Top 5",
IF(DraftData[[#This Row],[Pick]]&lt;=14,"Lottery",
IF(DraftData[[#This Row],[Pick]]&lt;=20,"Mid First","Late First")))</f>
        <v>Lottery</v>
      </c>
      <c r="W104" t="str">
        <f>IF(DraftData[[#This Row],[Win Shares]]&gt;=80,"Star",
IF(DraftData[[#This Row],[Win Shares]]&gt;=30,"Starter",
IF(DraftData[[#This Row],[Win Shares]]&gt;=10,"Rotation","Minimal")))</f>
        <v>Rotation</v>
      </c>
      <c r="X104" t="str">
        <f>IF(AND(DraftData[[#This Row],[Pick]]&lt;=14,DraftData[[#This Row],[Win Shares]]&lt;10),"Yes","No")</f>
        <v>No</v>
      </c>
      <c r="Y104" s="2">
        <f>DraftData[[#This Row],[Win Shares]]/DraftData[[#This Row],[Pick]]</f>
        <v>0.86153846153846148</v>
      </c>
      <c r="Z104" s="2">
        <f>DraftData[[#This Row],[Win Shares]]-_xlfn.XLOOKUP(DraftData[[#This Row],[Pick]],'Lookup Tables'!$A$2:$A$31,'Lookup Tables'!$B$2:$B$31)</f>
        <v>-8.1333333333333329</v>
      </c>
    </row>
    <row r="105" spans="1:26">
      <c r="A105">
        <v>2008</v>
      </c>
      <c r="B105">
        <v>14</v>
      </c>
      <c r="C105" t="s">
        <v>58</v>
      </c>
      <c r="D105" t="s">
        <v>218</v>
      </c>
      <c r="E105" t="s">
        <v>117</v>
      </c>
      <c r="F105">
        <v>252</v>
      </c>
      <c r="G105">
        <v>3841</v>
      </c>
      <c r="H105">
        <v>1789</v>
      </c>
      <c r="I105">
        <v>1078</v>
      </c>
      <c r="J105">
        <v>187</v>
      </c>
      <c r="K105">
        <v>0.45300000000000001</v>
      </c>
      <c r="L105">
        <v>0.24099999999999999</v>
      </c>
      <c r="M105">
        <v>0.74</v>
      </c>
      <c r="N105">
        <v>5.8</v>
      </c>
      <c r="O105">
        <v>7.1999999999999995E-2</v>
      </c>
      <c r="P105">
        <v>-1.6</v>
      </c>
      <c r="Q105">
        <v>0.4</v>
      </c>
      <c r="R105">
        <v>15.2</v>
      </c>
      <c r="S105">
        <v>7.1</v>
      </c>
      <c r="T105">
        <v>4.3</v>
      </c>
      <c r="U105">
        <v>0.7</v>
      </c>
      <c r="V105" t="str">
        <f>IF(DraftData[[#This Row],[Pick]]&lt;=5,"Top 5",
IF(DraftData[[#This Row],[Pick]]&lt;=14,"Lottery",
IF(DraftData[[#This Row],[Pick]]&lt;=20,"Mid First","Late First")))</f>
        <v>Lottery</v>
      </c>
      <c r="W105" t="str">
        <f>IF(DraftData[[#This Row],[Win Shares]]&gt;=80,"Star",
IF(DraftData[[#This Row],[Win Shares]]&gt;=30,"Starter",
IF(DraftData[[#This Row],[Win Shares]]&gt;=10,"Rotation","Minimal")))</f>
        <v>Minimal</v>
      </c>
      <c r="X105" t="str">
        <f>IF(AND(DraftData[[#This Row],[Pick]]&lt;=14,DraftData[[#This Row],[Win Shares]]&lt;10),"Yes","No")</f>
        <v>Yes</v>
      </c>
      <c r="Y105" s="2">
        <f>DraftData[[#This Row],[Win Shares]]/DraftData[[#This Row],[Pick]]</f>
        <v>0.41428571428571426</v>
      </c>
      <c r="Z105" s="2">
        <f>DraftData[[#This Row],[Win Shares]]-_xlfn.XLOOKUP(DraftData[[#This Row],[Pick]],'Lookup Tables'!$A$2:$A$31,'Lookup Tables'!$B$2:$B$31)</f>
        <v>-8.9499999999999993</v>
      </c>
    </row>
    <row r="106" spans="1:26">
      <c r="A106">
        <v>2008</v>
      </c>
      <c r="B106">
        <v>15</v>
      </c>
      <c r="C106" t="s">
        <v>86</v>
      </c>
      <c r="D106" t="s">
        <v>219</v>
      </c>
      <c r="E106" t="s">
        <v>213</v>
      </c>
      <c r="F106">
        <v>930</v>
      </c>
      <c r="G106">
        <v>20427</v>
      </c>
      <c r="H106">
        <v>8151</v>
      </c>
      <c r="I106">
        <v>4575</v>
      </c>
      <c r="J106">
        <v>786</v>
      </c>
      <c r="K106">
        <v>0.53700000000000003</v>
      </c>
      <c r="L106">
        <v>0.29599999999999999</v>
      </c>
      <c r="M106">
        <v>0.74299999999999999</v>
      </c>
      <c r="N106">
        <v>48.9</v>
      </c>
      <c r="O106">
        <v>0.115</v>
      </c>
      <c r="P106">
        <v>-1</v>
      </c>
      <c r="Q106">
        <v>4.9000000000000004</v>
      </c>
      <c r="R106">
        <v>22</v>
      </c>
      <c r="S106">
        <v>8.8000000000000007</v>
      </c>
      <c r="T106">
        <v>4.9000000000000004</v>
      </c>
      <c r="U106">
        <v>0.8</v>
      </c>
      <c r="V106" t="str">
        <f>IF(DraftData[[#This Row],[Pick]]&lt;=5,"Top 5",
IF(DraftData[[#This Row],[Pick]]&lt;=14,"Lottery",
IF(DraftData[[#This Row],[Pick]]&lt;=20,"Mid First","Late First")))</f>
        <v>Mid First</v>
      </c>
      <c r="W106" t="str">
        <f>IF(DraftData[[#This Row],[Win Shares]]&gt;=80,"Star",
IF(DraftData[[#This Row],[Win Shares]]&gt;=30,"Starter",
IF(DraftData[[#This Row],[Win Shares]]&gt;=10,"Rotation","Minimal")))</f>
        <v>Starter</v>
      </c>
      <c r="X106" t="str">
        <f>IF(AND(DraftData[[#This Row],[Pick]]&lt;=14,DraftData[[#This Row],[Win Shares]]&lt;10),"Yes","No")</f>
        <v>No</v>
      </c>
      <c r="Y106" s="2">
        <f>DraftData[[#This Row],[Win Shares]]/DraftData[[#This Row],[Pick]]</f>
        <v>3.26</v>
      </c>
      <c r="Z106" s="2">
        <f>DraftData[[#This Row],[Win Shares]]-_xlfn.XLOOKUP(DraftData[[#This Row],[Pick]],'Lookup Tables'!$A$2:$A$31,'Lookup Tables'!$B$2:$B$31)</f>
        <v>23.116666666666667</v>
      </c>
    </row>
    <row r="107" spans="1:26">
      <c r="A107">
        <v>2008</v>
      </c>
      <c r="B107">
        <v>16</v>
      </c>
      <c r="C107" t="s">
        <v>129</v>
      </c>
      <c r="D107" t="s">
        <v>220</v>
      </c>
      <c r="E107" t="s">
        <v>109</v>
      </c>
      <c r="F107">
        <v>705</v>
      </c>
      <c r="G107">
        <v>10640</v>
      </c>
      <c r="H107">
        <v>5592</v>
      </c>
      <c r="I107">
        <v>2875</v>
      </c>
      <c r="J107">
        <v>461</v>
      </c>
      <c r="K107">
        <v>0.45900000000000002</v>
      </c>
      <c r="L107">
        <v>0.35599999999999998</v>
      </c>
      <c r="M107">
        <v>0.79700000000000004</v>
      </c>
      <c r="N107">
        <v>25.8</v>
      </c>
      <c r="O107">
        <v>0.11600000000000001</v>
      </c>
      <c r="P107">
        <v>-2.2000000000000002</v>
      </c>
      <c r="Q107">
        <v>-0.6</v>
      </c>
      <c r="R107">
        <v>15.1</v>
      </c>
      <c r="S107">
        <v>7.9</v>
      </c>
      <c r="T107">
        <v>4.0999999999999996</v>
      </c>
      <c r="U107">
        <v>0.7</v>
      </c>
      <c r="V107" t="str">
        <f>IF(DraftData[[#This Row],[Pick]]&lt;=5,"Top 5",
IF(DraftData[[#This Row],[Pick]]&lt;=14,"Lottery",
IF(DraftData[[#This Row],[Pick]]&lt;=20,"Mid First","Late First")))</f>
        <v>Mid First</v>
      </c>
      <c r="W107" t="str">
        <f>IF(DraftData[[#This Row],[Win Shares]]&gt;=80,"Star",
IF(DraftData[[#This Row],[Win Shares]]&gt;=30,"Starter",
IF(DraftData[[#This Row],[Win Shares]]&gt;=10,"Rotation","Minimal")))</f>
        <v>Rotation</v>
      </c>
      <c r="X107" t="str">
        <f>IF(AND(DraftData[[#This Row],[Pick]]&lt;=14,DraftData[[#This Row],[Win Shares]]&lt;10),"Yes","No")</f>
        <v>No</v>
      </c>
      <c r="Y107" s="2">
        <f>DraftData[[#This Row],[Win Shares]]/DraftData[[#This Row],[Pick]]</f>
        <v>1.6125</v>
      </c>
      <c r="Z107" s="2">
        <f>DraftData[[#This Row],[Win Shares]]-_xlfn.XLOOKUP(DraftData[[#This Row],[Pick]],'Lookup Tables'!$A$2:$A$31,'Lookup Tables'!$B$2:$B$31)</f>
        <v>8.8166666666666664</v>
      </c>
    </row>
    <row r="108" spans="1:26">
      <c r="A108">
        <v>2008</v>
      </c>
      <c r="B108">
        <v>17</v>
      </c>
      <c r="C108" t="s">
        <v>52</v>
      </c>
      <c r="D108" t="s">
        <v>221</v>
      </c>
      <c r="E108" t="s">
        <v>165</v>
      </c>
      <c r="F108">
        <v>662</v>
      </c>
      <c r="G108">
        <v>16389</v>
      </c>
      <c r="H108">
        <v>6611</v>
      </c>
      <c r="I108">
        <v>4173</v>
      </c>
      <c r="J108">
        <v>885</v>
      </c>
      <c r="K108">
        <v>0.46500000000000002</v>
      </c>
      <c r="L108">
        <v>0.25</v>
      </c>
      <c r="M108">
        <v>0.755</v>
      </c>
      <c r="N108">
        <v>35.9</v>
      </c>
      <c r="O108">
        <v>0.105</v>
      </c>
      <c r="P108">
        <v>-1.1000000000000001</v>
      </c>
      <c r="Q108">
        <v>3.5</v>
      </c>
      <c r="R108">
        <v>24.8</v>
      </c>
      <c r="S108">
        <v>10</v>
      </c>
      <c r="T108">
        <v>6.3</v>
      </c>
      <c r="U108">
        <v>1.3</v>
      </c>
      <c r="V108" t="str">
        <f>IF(DraftData[[#This Row],[Pick]]&lt;=5,"Top 5",
IF(DraftData[[#This Row],[Pick]]&lt;=14,"Lottery",
IF(DraftData[[#This Row],[Pick]]&lt;=20,"Mid First","Late First")))</f>
        <v>Mid First</v>
      </c>
      <c r="W108" t="str">
        <f>IF(DraftData[[#This Row],[Win Shares]]&gt;=80,"Star",
IF(DraftData[[#This Row],[Win Shares]]&gt;=30,"Starter",
IF(DraftData[[#This Row],[Win Shares]]&gt;=10,"Rotation","Minimal")))</f>
        <v>Starter</v>
      </c>
      <c r="X108" t="str">
        <f>IF(AND(DraftData[[#This Row],[Pick]]&lt;=14,DraftData[[#This Row],[Win Shares]]&lt;10),"Yes","No")</f>
        <v>No</v>
      </c>
      <c r="Y108" s="2">
        <f>DraftData[[#This Row],[Win Shares]]/DraftData[[#This Row],[Pick]]</f>
        <v>2.111764705882353</v>
      </c>
      <c r="Z108" s="2">
        <f>DraftData[[#This Row],[Win Shares]]-_xlfn.XLOOKUP(DraftData[[#This Row],[Pick]],'Lookup Tables'!$A$2:$A$31,'Lookup Tables'!$B$2:$B$31)</f>
        <v>18.583333333333332</v>
      </c>
    </row>
    <row r="109" spans="1:26">
      <c r="A109">
        <v>2008</v>
      </c>
      <c r="B109">
        <v>18</v>
      </c>
      <c r="C109" t="s">
        <v>137</v>
      </c>
      <c r="D109" t="s">
        <v>222</v>
      </c>
      <c r="E109" t="s">
        <v>223</v>
      </c>
      <c r="F109">
        <v>799</v>
      </c>
      <c r="G109">
        <v>13649</v>
      </c>
      <c r="H109">
        <v>6373</v>
      </c>
      <c r="I109">
        <v>4209</v>
      </c>
      <c r="J109">
        <v>349</v>
      </c>
      <c r="K109">
        <v>0.57699999999999996</v>
      </c>
      <c r="L109">
        <v>0.19</v>
      </c>
      <c r="M109">
        <v>0.60099999999999998</v>
      </c>
      <c r="N109">
        <v>41.5</v>
      </c>
      <c r="O109">
        <v>0.14599999999999999</v>
      </c>
      <c r="P109">
        <v>0.2</v>
      </c>
      <c r="Q109">
        <v>7.5</v>
      </c>
      <c r="R109">
        <v>17.100000000000001</v>
      </c>
      <c r="S109">
        <v>8</v>
      </c>
      <c r="T109">
        <v>5.3</v>
      </c>
      <c r="U109">
        <v>0.4</v>
      </c>
      <c r="V109" t="str">
        <f>IF(DraftData[[#This Row],[Pick]]&lt;=5,"Top 5",
IF(DraftData[[#This Row],[Pick]]&lt;=14,"Lottery",
IF(DraftData[[#This Row],[Pick]]&lt;=20,"Mid First","Late First")))</f>
        <v>Mid First</v>
      </c>
      <c r="W109" t="str">
        <f>IF(DraftData[[#This Row],[Win Shares]]&gt;=80,"Star",
IF(DraftData[[#This Row],[Win Shares]]&gt;=30,"Starter",
IF(DraftData[[#This Row],[Win Shares]]&gt;=10,"Rotation","Minimal")))</f>
        <v>Starter</v>
      </c>
      <c r="X109" t="str">
        <f>IF(AND(DraftData[[#This Row],[Pick]]&lt;=14,DraftData[[#This Row],[Win Shares]]&lt;10),"Yes","No")</f>
        <v>No</v>
      </c>
      <c r="Y109" s="2">
        <f>DraftData[[#This Row],[Win Shares]]/DraftData[[#This Row],[Pick]]</f>
        <v>2.3055555555555554</v>
      </c>
      <c r="Z109" s="2">
        <f>DraftData[[#This Row],[Win Shares]]-_xlfn.XLOOKUP(DraftData[[#This Row],[Pick]],'Lookup Tables'!$A$2:$A$31,'Lookup Tables'!$B$2:$B$31)</f>
        <v>24.191666666666666</v>
      </c>
    </row>
    <row r="110" spans="1:26">
      <c r="A110">
        <v>2008</v>
      </c>
      <c r="B110">
        <v>19</v>
      </c>
      <c r="C110" t="s">
        <v>148</v>
      </c>
      <c r="D110" t="s">
        <v>224</v>
      </c>
      <c r="E110" t="s">
        <v>85</v>
      </c>
      <c r="F110">
        <v>534</v>
      </c>
      <c r="G110">
        <v>11925</v>
      </c>
      <c r="H110">
        <v>5081</v>
      </c>
      <c r="I110">
        <v>3639</v>
      </c>
      <c r="J110">
        <v>449</v>
      </c>
      <c r="K110">
        <v>0.505</v>
      </c>
      <c r="L110">
        <v>0</v>
      </c>
      <c r="M110">
        <v>0.61699999999999999</v>
      </c>
      <c r="N110">
        <v>21.9</v>
      </c>
      <c r="O110">
        <v>8.7999999999999995E-2</v>
      </c>
      <c r="P110">
        <v>-1.8</v>
      </c>
      <c r="Q110">
        <v>0.5</v>
      </c>
      <c r="R110">
        <v>22.3</v>
      </c>
      <c r="S110">
        <v>9.5</v>
      </c>
      <c r="T110">
        <v>6.8</v>
      </c>
      <c r="U110">
        <v>0.8</v>
      </c>
      <c r="V110" t="str">
        <f>IF(DraftData[[#This Row],[Pick]]&lt;=5,"Top 5",
IF(DraftData[[#This Row],[Pick]]&lt;=14,"Lottery",
IF(DraftData[[#This Row],[Pick]]&lt;=20,"Mid First","Late First")))</f>
        <v>Mid First</v>
      </c>
      <c r="W110" t="str">
        <f>IF(DraftData[[#This Row],[Win Shares]]&gt;=80,"Star",
IF(DraftData[[#This Row],[Win Shares]]&gt;=30,"Starter",
IF(DraftData[[#This Row],[Win Shares]]&gt;=10,"Rotation","Minimal")))</f>
        <v>Rotation</v>
      </c>
      <c r="X110" t="str">
        <f>IF(AND(DraftData[[#This Row],[Pick]]&lt;=14,DraftData[[#This Row],[Win Shares]]&lt;10),"Yes","No")</f>
        <v>No</v>
      </c>
      <c r="Y110" s="2">
        <f>DraftData[[#This Row],[Win Shares]]/DraftData[[#This Row],[Pick]]</f>
        <v>1.1526315789473685</v>
      </c>
      <c r="Z110" s="2">
        <f>DraftData[[#This Row],[Win Shares]]-_xlfn.XLOOKUP(DraftData[[#This Row],[Pick]],'Lookup Tables'!$A$2:$A$31,'Lookup Tables'!$B$2:$B$31)</f>
        <v>4.3249999999999957</v>
      </c>
    </row>
    <row r="111" spans="1:26">
      <c r="A111">
        <v>2008</v>
      </c>
      <c r="B111">
        <v>20</v>
      </c>
      <c r="C111" t="s">
        <v>48</v>
      </c>
      <c r="D111" t="s">
        <v>225</v>
      </c>
      <c r="F111">
        <v>293</v>
      </c>
      <c r="G111">
        <v>3905</v>
      </c>
      <c r="H111">
        <v>1553</v>
      </c>
      <c r="I111">
        <v>1150</v>
      </c>
      <c r="J111">
        <v>143</v>
      </c>
      <c r="K111">
        <v>0.503</v>
      </c>
      <c r="L111">
        <v>0.28599999999999998</v>
      </c>
      <c r="M111">
        <v>0.79700000000000004</v>
      </c>
      <c r="N111">
        <v>7.5</v>
      </c>
      <c r="O111">
        <v>9.2999999999999999E-2</v>
      </c>
      <c r="P111">
        <v>-2.8</v>
      </c>
      <c r="Q111">
        <v>-0.8</v>
      </c>
      <c r="R111">
        <v>13.3</v>
      </c>
      <c r="S111">
        <v>5.3</v>
      </c>
      <c r="T111">
        <v>3.9</v>
      </c>
      <c r="U111">
        <v>0.5</v>
      </c>
      <c r="V111" t="str">
        <f>IF(DraftData[[#This Row],[Pick]]&lt;=5,"Top 5",
IF(DraftData[[#This Row],[Pick]]&lt;=14,"Lottery",
IF(DraftData[[#This Row],[Pick]]&lt;=20,"Mid First","Late First")))</f>
        <v>Mid First</v>
      </c>
      <c r="W111" t="str">
        <f>IF(DraftData[[#This Row],[Win Shares]]&gt;=80,"Star",
IF(DraftData[[#This Row],[Win Shares]]&gt;=30,"Starter",
IF(DraftData[[#This Row],[Win Shares]]&gt;=10,"Rotation","Minimal")))</f>
        <v>Minimal</v>
      </c>
      <c r="X111" t="str">
        <f>IF(AND(DraftData[[#This Row],[Pick]]&lt;=14,DraftData[[#This Row],[Win Shares]]&lt;10),"Yes","No")</f>
        <v>No</v>
      </c>
      <c r="Y111" s="2">
        <f>DraftData[[#This Row],[Win Shares]]/DraftData[[#This Row],[Pick]]</f>
        <v>0.375</v>
      </c>
      <c r="Z111" s="2">
        <f>DraftData[[#This Row],[Win Shares]]-_xlfn.XLOOKUP(DraftData[[#This Row],[Pick]],'Lookup Tables'!$A$2:$A$31,'Lookup Tables'!$B$2:$B$31)</f>
        <v>-2.8916666666666675</v>
      </c>
    </row>
    <row r="112" spans="1:26">
      <c r="A112">
        <v>2008</v>
      </c>
      <c r="B112">
        <v>21</v>
      </c>
      <c r="C112" t="s">
        <v>70</v>
      </c>
      <c r="D112" t="s">
        <v>226</v>
      </c>
      <c r="E112" t="s">
        <v>227</v>
      </c>
      <c r="F112">
        <v>649</v>
      </c>
      <c r="G112">
        <v>16769</v>
      </c>
      <c r="H112">
        <v>8001</v>
      </c>
      <c r="I112">
        <v>3413</v>
      </c>
      <c r="J112">
        <v>586</v>
      </c>
      <c r="K112">
        <v>0.42199999999999999</v>
      </c>
      <c r="L112">
        <v>0.38</v>
      </c>
      <c r="M112">
        <v>0.85399999999999998</v>
      </c>
      <c r="N112">
        <v>46.7</v>
      </c>
      <c r="O112">
        <v>0.13400000000000001</v>
      </c>
      <c r="P112">
        <v>1</v>
      </c>
      <c r="Q112">
        <v>12.8</v>
      </c>
      <c r="R112">
        <v>25.8</v>
      </c>
      <c r="S112">
        <v>12.3</v>
      </c>
      <c r="T112">
        <v>5.3</v>
      </c>
      <c r="U112">
        <v>0.9</v>
      </c>
      <c r="V112" t="str">
        <f>IF(DraftData[[#This Row],[Pick]]&lt;=5,"Top 5",
IF(DraftData[[#This Row],[Pick]]&lt;=14,"Lottery",
IF(DraftData[[#This Row],[Pick]]&lt;=20,"Mid First","Late First")))</f>
        <v>Late First</v>
      </c>
      <c r="W112" t="str">
        <f>IF(DraftData[[#This Row],[Win Shares]]&gt;=80,"Star",
IF(DraftData[[#This Row],[Win Shares]]&gt;=30,"Starter",
IF(DraftData[[#This Row],[Win Shares]]&gt;=10,"Rotation","Minimal")))</f>
        <v>Starter</v>
      </c>
      <c r="X112" t="str">
        <f>IF(AND(DraftData[[#This Row],[Pick]]&lt;=14,DraftData[[#This Row],[Win Shares]]&lt;10),"Yes","No")</f>
        <v>No</v>
      </c>
      <c r="Y112" s="2">
        <f>DraftData[[#This Row],[Win Shares]]/DraftData[[#This Row],[Pick]]</f>
        <v>2.2238095238095239</v>
      </c>
      <c r="Z112" s="2">
        <f>DraftData[[#This Row],[Win Shares]]-_xlfn.XLOOKUP(DraftData[[#This Row],[Pick]],'Lookup Tables'!$A$2:$A$31,'Lookup Tables'!$B$2:$B$31)</f>
        <v>26.2</v>
      </c>
    </row>
    <row r="113" spans="1:26">
      <c r="A113">
        <v>2008</v>
      </c>
      <c r="B113">
        <v>22</v>
      </c>
      <c r="C113" t="s">
        <v>63</v>
      </c>
      <c r="D113" t="s">
        <v>228</v>
      </c>
      <c r="E113" t="s">
        <v>229</v>
      </c>
      <c r="F113">
        <v>811</v>
      </c>
      <c r="G113">
        <v>21938</v>
      </c>
      <c r="H113">
        <v>7765</v>
      </c>
      <c r="I113">
        <v>2127</v>
      </c>
      <c r="J113">
        <v>1353</v>
      </c>
      <c r="K113">
        <v>0.45100000000000001</v>
      </c>
      <c r="L113">
        <v>0.38800000000000001</v>
      </c>
      <c r="M113">
        <v>0.85299999999999998</v>
      </c>
      <c r="N113">
        <v>39.299999999999997</v>
      </c>
      <c r="O113">
        <v>8.5999999999999993E-2</v>
      </c>
      <c r="P113">
        <v>-0.6</v>
      </c>
      <c r="Q113">
        <v>7.9</v>
      </c>
      <c r="R113">
        <v>27.1</v>
      </c>
      <c r="S113">
        <v>9.6</v>
      </c>
      <c r="T113">
        <v>2.6</v>
      </c>
      <c r="U113">
        <v>1.7</v>
      </c>
      <c r="V113" t="str">
        <f>IF(DraftData[[#This Row],[Pick]]&lt;=5,"Top 5",
IF(DraftData[[#This Row],[Pick]]&lt;=14,"Lottery",
IF(DraftData[[#This Row],[Pick]]&lt;=20,"Mid First","Late First")))</f>
        <v>Late First</v>
      </c>
      <c r="W113" t="str">
        <f>IF(DraftData[[#This Row],[Win Shares]]&gt;=80,"Star",
IF(DraftData[[#This Row],[Win Shares]]&gt;=30,"Starter",
IF(DraftData[[#This Row],[Win Shares]]&gt;=10,"Rotation","Minimal")))</f>
        <v>Starter</v>
      </c>
      <c r="X113" t="str">
        <f>IF(AND(DraftData[[#This Row],[Pick]]&lt;=14,DraftData[[#This Row],[Win Shares]]&lt;10),"Yes","No")</f>
        <v>No</v>
      </c>
      <c r="Y113" s="2">
        <f>DraftData[[#This Row],[Win Shares]]/DraftData[[#This Row],[Pick]]</f>
        <v>1.7863636363636362</v>
      </c>
      <c r="Z113" s="2">
        <f>DraftData[[#This Row],[Win Shares]]-_xlfn.XLOOKUP(DraftData[[#This Row],[Pick]],'Lookup Tables'!$A$2:$A$31,'Lookup Tables'!$B$2:$B$31)</f>
        <v>20.816666666666659</v>
      </c>
    </row>
    <row r="114" spans="1:26">
      <c r="A114">
        <v>2008</v>
      </c>
      <c r="B114">
        <v>23</v>
      </c>
      <c r="C114" t="s">
        <v>42</v>
      </c>
      <c r="D114" t="s">
        <v>230</v>
      </c>
      <c r="E114" t="s">
        <v>160</v>
      </c>
      <c r="F114">
        <v>686</v>
      </c>
      <c r="G114">
        <v>11271</v>
      </c>
      <c r="H114">
        <v>3913</v>
      </c>
      <c r="I114">
        <v>3452</v>
      </c>
      <c r="J114">
        <v>359</v>
      </c>
      <c r="K114">
        <v>0.53400000000000003</v>
      </c>
      <c r="L114">
        <v>0</v>
      </c>
      <c r="M114">
        <v>0.58199999999999996</v>
      </c>
      <c r="N114">
        <v>28.3</v>
      </c>
      <c r="O114">
        <v>0.12</v>
      </c>
      <c r="P114">
        <v>-1.3</v>
      </c>
      <c r="Q114">
        <v>2</v>
      </c>
      <c r="R114">
        <v>16.399999999999999</v>
      </c>
      <c r="S114">
        <v>5.7</v>
      </c>
      <c r="T114">
        <v>5</v>
      </c>
      <c r="U114">
        <v>0.5</v>
      </c>
      <c r="V114" t="str">
        <f>IF(DraftData[[#This Row],[Pick]]&lt;=5,"Top 5",
IF(DraftData[[#This Row],[Pick]]&lt;=14,"Lottery",
IF(DraftData[[#This Row],[Pick]]&lt;=20,"Mid First","Late First")))</f>
        <v>Late First</v>
      </c>
      <c r="W114" t="str">
        <f>IF(DraftData[[#This Row],[Win Shares]]&gt;=80,"Star",
IF(DraftData[[#This Row],[Win Shares]]&gt;=30,"Starter",
IF(DraftData[[#This Row],[Win Shares]]&gt;=10,"Rotation","Minimal")))</f>
        <v>Rotation</v>
      </c>
      <c r="X114" t="str">
        <f>IF(AND(DraftData[[#This Row],[Pick]]&lt;=14,DraftData[[#This Row],[Win Shares]]&lt;10),"Yes","No")</f>
        <v>No</v>
      </c>
      <c r="Y114" s="2">
        <f>DraftData[[#This Row],[Win Shares]]/DraftData[[#This Row],[Pick]]</f>
        <v>1.2304347826086957</v>
      </c>
      <c r="Z114" s="2">
        <f>DraftData[[#This Row],[Win Shares]]-_xlfn.XLOOKUP(DraftData[[#This Row],[Pick]],'Lookup Tables'!$A$2:$A$31,'Lookup Tables'!$B$2:$B$31)</f>
        <v>11.658333333333335</v>
      </c>
    </row>
    <row r="115" spans="1:26">
      <c r="A115">
        <v>2008</v>
      </c>
      <c r="B115">
        <v>24</v>
      </c>
      <c r="C115" t="s">
        <v>96</v>
      </c>
      <c r="D115" t="s">
        <v>231</v>
      </c>
      <c r="F115">
        <v>887</v>
      </c>
      <c r="G115">
        <v>24681</v>
      </c>
      <c r="H115">
        <v>10849</v>
      </c>
      <c r="I115">
        <v>6387</v>
      </c>
      <c r="J115">
        <v>735</v>
      </c>
      <c r="K115">
        <v>0.51300000000000001</v>
      </c>
      <c r="L115">
        <v>0.35899999999999999</v>
      </c>
      <c r="M115">
        <v>0.75800000000000001</v>
      </c>
      <c r="N115">
        <v>72</v>
      </c>
      <c r="O115">
        <v>0.14000000000000001</v>
      </c>
      <c r="P115">
        <v>0.5</v>
      </c>
      <c r="Q115">
        <v>15.8</v>
      </c>
      <c r="R115">
        <v>27.8</v>
      </c>
      <c r="S115">
        <v>12.2</v>
      </c>
      <c r="T115">
        <v>7.2</v>
      </c>
      <c r="U115">
        <v>0.8</v>
      </c>
      <c r="V115" t="str">
        <f>IF(DraftData[[#This Row],[Pick]]&lt;=5,"Top 5",
IF(DraftData[[#This Row],[Pick]]&lt;=14,"Lottery",
IF(DraftData[[#This Row],[Pick]]&lt;=20,"Mid First","Late First")))</f>
        <v>Late First</v>
      </c>
      <c r="W115" t="str">
        <f>IF(DraftData[[#This Row],[Win Shares]]&gt;=80,"Star",
IF(DraftData[[#This Row],[Win Shares]]&gt;=30,"Starter",
IF(DraftData[[#This Row],[Win Shares]]&gt;=10,"Rotation","Minimal")))</f>
        <v>Starter</v>
      </c>
      <c r="X115" t="str">
        <f>IF(AND(DraftData[[#This Row],[Pick]]&lt;=14,DraftData[[#This Row],[Win Shares]]&lt;10),"Yes","No")</f>
        <v>No</v>
      </c>
      <c r="Y115" s="2">
        <f>DraftData[[#This Row],[Win Shares]]/DraftData[[#This Row],[Pick]]</f>
        <v>3</v>
      </c>
      <c r="Z115" s="2">
        <f>DraftData[[#This Row],[Win Shares]]-_xlfn.XLOOKUP(DraftData[[#This Row],[Pick]],'Lookup Tables'!$A$2:$A$31,'Lookup Tables'!$B$2:$B$31)</f>
        <v>47.5</v>
      </c>
    </row>
    <row r="116" spans="1:26">
      <c r="A116">
        <v>2008</v>
      </c>
      <c r="B116">
        <v>25</v>
      </c>
      <c r="C116" t="s">
        <v>94</v>
      </c>
      <c r="D116" t="s">
        <v>232</v>
      </c>
      <c r="F116">
        <v>896</v>
      </c>
      <c r="G116">
        <v>27560</v>
      </c>
      <c r="H116">
        <v>10011</v>
      </c>
      <c r="I116">
        <v>4632</v>
      </c>
      <c r="J116">
        <v>3176</v>
      </c>
      <c r="K116">
        <v>0.438</v>
      </c>
      <c r="L116">
        <v>0.36299999999999999</v>
      </c>
      <c r="M116">
        <v>0.83799999999999997</v>
      </c>
      <c r="N116">
        <v>62.6</v>
      </c>
      <c r="O116">
        <v>0.109</v>
      </c>
      <c r="P116">
        <v>1.7</v>
      </c>
      <c r="Q116">
        <v>25.8</v>
      </c>
      <c r="R116">
        <v>30.8</v>
      </c>
      <c r="S116">
        <v>11.2</v>
      </c>
      <c r="T116">
        <v>5.2</v>
      </c>
      <c r="U116">
        <v>3.5</v>
      </c>
      <c r="V116" t="str">
        <f>IF(DraftData[[#This Row],[Pick]]&lt;=5,"Top 5",
IF(DraftData[[#This Row],[Pick]]&lt;=14,"Lottery",
IF(DraftData[[#This Row],[Pick]]&lt;=20,"Mid First","Late First")))</f>
        <v>Late First</v>
      </c>
      <c r="W116" t="str">
        <f>IF(DraftData[[#This Row],[Win Shares]]&gt;=80,"Star",
IF(DraftData[[#This Row],[Win Shares]]&gt;=30,"Starter",
IF(DraftData[[#This Row],[Win Shares]]&gt;=10,"Rotation","Minimal")))</f>
        <v>Starter</v>
      </c>
      <c r="X116" t="str">
        <f>IF(AND(DraftData[[#This Row],[Pick]]&lt;=14,DraftData[[#This Row],[Win Shares]]&lt;10),"Yes","No")</f>
        <v>No</v>
      </c>
      <c r="Y116" s="2">
        <f>DraftData[[#This Row],[Win Shares]]/DraftData[[#This Row],[Pick]]</f>
        <v>2.504</v>
      </c>
      <c r="Z116" s="2">
        <f>DraftData[[#This Row],[Win Shares]]-_xlfn.XLOOKUP(DraftData[[#This Row],[Pick]],'Lookup Tables'!$A$2:$A$31,'Lookup Tables'!$B$2:$B$31)</f>
        <v>49.7</v>
      </c>
    </row>
    <row r="117" spans="1:26">
      <c r="A117">
        <v>2008</v>
      </c>
      <c r="B117">
        <v>26</v>
      </c>
      <c r="C117" t="s">
        <v>103</v>
      </c>
      <c r="D117" t="s">
        <v>233</v>
      </c>
      <c r="E117" t="s">
        <v>234</v>
      </c>
      <c r="F117">
        <v>856</v>
      </c>
      <c r="G117">
        <v>23458</v>
      </c>
      <c r="H117">
        <v>9268</v>
      </c>
      <c r="I117">
        <v>2623</v>
      </c>
      <c r="J117">
        <v>2678</v>
      </c>
      <c r="K117">
        <v>0.45700000000000002</v>
      </c>
      <c r="L117">
        <v>0.38100000000000001</v>
      </c>
      <c r="M117">
        <v>0.80700000000000005</v>
      </c>
      <c r="N117">
        <v>69</v>
      </c>
      <c r="O117">
        <v>0.14099999999999999</v>
      </c>
      <c r="P117">
        <v>1.3</v>
      </c>
      <c r="Q117">
        <v>19.3</v>
      </c>
      <c r="R117">
        <v>27.4</v>
      </c>
      <c r="S117">
        <v>10.8</v>
      </c>
      <c r="T117">
        <v>3.1</v>
      </c>
      <c r="U117">
        <v>3.1</v>
      </c>
      <c r="V117" t="str">
        <f>IF(DraftData[[#This Row],[Pick]]&lt;=5,"Top 5",
IF(DraftData[[#This Row],[Pick]]&lt;=14,"Lottery",
IF(DraftData[[#This Row],[Pick]]&lt;=20,"Mid First","Late First")))</f>
        <v>Late First</v>
      </c>
      <c r="W117" t="str">
        <f>IF(DraftData[[#This Row],[Win Shares]]&gt;=80,"Star",
IF(DraftData[[#This Row],[Win Shares]]&gt;=30,"Starter",
IF(DraftData[[#This Row],[Win Shares]]&gt;=10,"Rotation","Minimal")))</f>
        <v>Starter</v>
      </c>
      <c r="X117" t="str">
        <f>IF(AND(DraftData[[#This Row],[Pick]]&lt;=14,DraftData[[#This Row],[Win Shares]]&lt;10),"Yes","No")</f>
        <v>No</v>
      </c>
      <c r="Y117" s="2">
        <f>DraftData[[#This Row],[Win Shares]]/DraftData[[#This Row],[Pick]]</f>
        <v>2.6538461538461537</v>
      </c>
      <c r="Z117" s="2">
        <f>DraftData[[#This Row],[Win Shares]]-_xlfn.XLOOKUP(DraftData[[#This Row],[Pick]],'Lookup Tables'!$A$2:$A$31,'Lookup Tables'!$B$2:$B$31)</f>
        <v>48.599999999999994</v>
      </c>
    </row>
    <row r="118" spans="1:26">
      <c r="A118">
        <v>2008</v>
      </c>
      <c r="B118">
        <v>27</v>
      </c>
      <c r="C118" t="s">
        <v>45</v>
      </c>
      <c r="D118" t="s">
        <v>235</v>
      </c>
      <c r="E118" t="s">
        <v>107</v>
      </c>
      <c r="F118">
        <v>503</v>
      </c>
      <c r="G118">
        <v>8945</v>
      </c>
      <c r="H118">
        <v>3282</v>
      </c>
      <c r="I118">
        <v>1768</v>
      </c>
      <c r="J118">
        <v>409</v>
      </c>
      <c r="K118">
        <v>0.44400000000000001</v>
      </c>
      <c r="L118">
        <v>0.35199999999999998</v>
      </c>
      <c r="M118">
        <v>0.76500000000000001</v>
      </c>
      <c r="N118">
        <v>12.3</v>
      </c>
      <c r="O118">
        <v>6.6000000000000003E-2</v>
      </c>
      <c r="P118">
        <v>-2.2000000000000002</v>
      </c>
      <c r="Q118">
        <v>-0.4</v>
      </c>
      <c r="R118">
        <v>17.8</v>
      </c>
      <c r="S118">
        <v>6.5</v>
      </c>
      <c r="T118">
        <v>3.5</v>
      </c>
      <c r="U118">
        <v>0.8</v>
      </c>
      <c r="V118" t="str">
        <f>IF(DraftData[[#This Row],[Pick]]&lt;=5,"Top 5",
IF(DraftData[[#This Row],[Pick]]&lt;=14,"Lottery",
IF(DraftData[[#This Row],[Pick]]&lt;=20,"Mid First","Late First")))</f>
        <v>Late First</v>
      </c>
      <c r="W118" t="str">
        <f>IF(DraftData[[#This Row],[Win Shares]]&gt;=80,"Star",
IF(DraftData[[#This Row],[Win Shares]]&gt;=30,"Starter",
IF(DraftData[[#This Row],[Win Shares]]&gt;=10,"Rotation","Minimal")))</f>
        <v>Rotation</v>
      </c>
      <c r="X118" t="str">
        <f>IF(AND(DraftData[[#This Row],[Pick]]&lt;=14,DraftData[[#This Row],[Win Shares]]&lt;10),"Yes","No")</f>
        <v>No</v>
      </c>
      <c r="Y118" s="2">
        <f>DraftData[[#This Row],[Win Shares]]/DraftData[[#This Row],[Pick]]</f>
        <v>0.4555555555555556</v>
      </c>
      <c r="Z118" s="2">
        <f>DraftData[[#This Row],[Win Shares]]-_xlfn.XLOOKUP(DraftData[[#This Row],[Pick]],'Lookup Tables'!$A$2:$A$31,'Lookup Tables'!$B$2:$B$31)</f>
        <v>-8.8083333333333336</v>
      </c>
    </row>
    <row r="119" spans="1:26">
      <c r="A119">
        <v>2008</v>
      </c>
      <c r="B119">
        <v>28</v>
      </c>
      <c r="C119" t="s">
        <v>80</v>
      </c>
      <c r="D119" t="s">
        <v>236</v>
      </c>
      <c r="E119" t="s">
        <v>82</v>
      </c>
      <c r="F119">
        <v>253</v>
      </c>
      <c r="G119">
        <v>4259</v>
      </c>
      <c r="H119">
        <v>1541</v>
      </c>
      <c r="I119">
        <v>600</v>
      </c>
      <c r="J119">
        <v>183</v>
      </c>
      <c r="K119">
        <v>0.40600000000000003</v>
      </c>
      <c r="L119">
        <v>0.30399999999999999</v>
      </c>
      <c r="M119">
        <v>0.70099999999999996</v>
      </c>
      <c r="N119">
        <v>1.5</v>
      </c>
      <c r="O119">
        <v>1.7000000000000001E-2</v>
      </c>
      <c r="P119">
        <v>-2.8</v>
      </c>
      <c r="Q119">
        <v>-0.9</v>
      </c>
      <c r="R119">
        <v>16.8</v>
      </c>
      <c r="S119">
        <v>6.1</v>
      </c>
      <c r="T119">
        <v>2.4</v>
      </c>
      <c r="U119">
        <v>0.7</v>
      </c>
      <c r="V119" t="str">
        <f>IF(DraftData[[#This Row],[Pick]]&lt;=5,"Top 5",
IF(DraftData[[#This Row],[Pick]]&lt;=14,"Lottery",
IF(DraftData[[#This Row],[Pick]]&lt;=20,"Mid First","Late First")))</f>
        <v>Late First</v>
      </c>
      <c r="W119" t="str">
        <f>IF(DraftData[[#This Row],[Win Shares]]&gt;=80,"Star",
IF(DraftData[[#This Row],[Win Shares]]&gt;=30,"Starter",
IF(DraftData[[#This Row],[Win Shares]]&gt;=10,"Rotation","Minimal")))</f>
        <v>Minimal</v>
      </c>
      <c r="X119" t="str">
        <f>IF(AND(DraftData[[#This Row],[Pick]]&lt;=14,DraftData[[#This Row],[Win Shares]]&lt;10),"Yes","No")</f>
        <v>No</v>
      </c>
      <c r="Y119" s="2">
        <f>DraftData[[#This Row],[Win Shares]]/DraftData[[#This Row],[Pick]]</f>
        <v>5.3571428571428568E-2</v>
      </c>
      <c r="Z119" s="2">
        <f>DraftData[[#This Row],[Win Shares]]-_xlfn.XLOOKUP(DraftData[[#This Row],[Pick]],'Lookup Tables'!$A$2:$A$31,'Lookup Tables'!$B$2:$B$31)</f>
        <v>-7.1454545454545464</v>
      </c>
    </row>
    <row r="120" spans="1:26">
      <c r="A120">
        <v>2008</v>
      </c>
      <c r="B120">
        <v>29</v>
      </c>
      <c r="C120" t="s">
        <v>98</v>
      </c>
      <c r="D120" t="s">
        <v>237</v>
      </c>
      <c r="E120" t="s">
        <v>208</v>
      </c>
      <c r="F120">
        <v>138</v>
      </c>
      <c r="G120">
        <v>2111</v>
      </c>
      <c r="H120">
        <v>810</v>
      </c>
      <c r="I120">
        <v>437</v>
      </c>
      <c r="J120">
        <v>80</v>
      </c>
      <c r="K120">
        <v>0.50700000000000001</v>
      </c>
      <c r="L120">
        <v>0.33300000000000002</v>
      </c>
      <c r="M120">
        <v>0.72</v>
      </c>
      <c r="N120">
        <v>3.8</v>
      </c>
      <c r="O120">
        <v>8.6999999999999994E-2</v>
      </c>
      <c r="P120">
        <v>-2.1</v>
      </c>
      <c r="Q120">
        <v>0</v>
      </c>
      <c r="R120">
        <v>15.3</v>
      </c>
      <c r="S120">
        <v>5.9</v>
      </c>
      <c r="T120">
        <v>3.2</v>
      </c>
      <c r="U120">
        <v>0.6</v>
      </c>
      <c r="V120" t="str">
        <f>IF(DraftData[[#This Row],[Pick]]&lt;=5,"Top 5",
IF(DraftData[[#This Row],[Pick]]&lt;=14,"Lottery",
IF(DraftData[[#This Row],[Pick]]&lt;=20,"Mid First","Late First")))</f>
        <v>Late First</v>
      </c>
      <c r="W120" t="str">
        <f>IF(DraftData[[#This Row],[Win Shares]]&gt;=80,"Star",
IF(DraftData[[#This Row],[Win Shares]]&gt;=30,"Starter",
IF(DraftData[[#This Row],[Win Shares]]&gt;=10,"Rotation","Minimal")))</f>
        <v>Minimal</v>
      </c>
      <c r="X120" t="str">
        <f>IF(AND(DraftData[[#This Row],[Pick]]&lt;=14,DraftData[[#This Row],[Win Shares]]&lt;10),"Yes","No")</f>
        <v>No</v>
      </c>
      <c r="Y120" s="2">
        <f>DraftData[[#This Row],[Win Shares]]/DraftData[[#This Row],[Pick]]</f>
        <v>0.13103448275862067</v>
      </c>
      <c r="Z120" s="2">
        <f>DraftData[[#This Row],[Win Shares]]-_xlfn.XLOOKUP(DraftData[[#This Row],[Pick]],'Lookup Tables'!$A$2:$A$31,'Lookup Tables'!$B$2:$B$31)</f>
        <v>-1.2666666666666675</v>
      </c>
    </row>
    <row r="121" spans="1:26">
      <c r="A121">
        <v>2008</v>
      </c>
      <c r="B121">
        <v>30</v>
      </c>
      <c r="C121" t="s">
        <v>78</v>
      </c>
      <c r="D121" t="s">
        <v>238</v>
      </c>
      <c r="E121" t="s">
        <v>77</v>
      </c>
      <c r="F121">
        <v>38</v>
      </c>
      <c r="G121">
        <v>247</v>
      </c>
      <c r="H121">
        <v>73</v>
      </c>
      <c r="I121">
        <v>54</v>
      </c>
      <c r="J121">
        <v>13</v>
      </c>
      <c r="K121">
        <v>0.47599999999999998</v>
      </c>
      <c r="L121">
        <v>0</v>
      </c>
      <c r="M121">
        <v>0.56499999999999995</v>
      </c>
      <c r="N121">
        <v>0.1</v>
      </c>
      <c r="O121">
        <v>2.7E-2</v>
      </c>
      <c r="P121">
        <v>-4.3</v>
      </c>
      <c r="Q121">
        <v>-0.1</v>
      </c>
      <c r="R121">
        <v>6.5</v>
      </c>
      <c r="S121">
        <v>1.9</v>
      </c>
      <c r="T121">
        <v>1.4</v>
      </c>
      <c r="U121">
        <v>0.3</v>
      </c>
      <c r="V121" t="str">
        <f>IF(DraftData[[#This Row],[Pick]]&lt;=5,"Top 5",
IF(DraftData[[#This Row],[Pick]]&lt;=14,"Lottery",
IF(DraftData[[#This Row],[Pick]]&lt;=20,"Mid First","Late First")))</f>
        <v>Late First</v>
      </c>
      <c r="W121" t="str">
        <f>IF(DraftData[[#This Row],[Win Shares]]&gt;=80,"Star",
IF(DraftData[[#This Row],[Win Shares]]&gt;=30,"Starter",
IF(DraftData[[#This Row],[Win Shares]]&gt;=10,"Rotation","Minimal")))</f>
        <v>Minimal</v>
      </c>
      <c r="X121" t="str">
        <f>IF(AND(DraftData[[#This Row],[Pick]]&lt;=14,DraftData[[#This Row],[Win Shares]]&lt;10),"Yes","No")</f>
        <v>No</v>
      </c>
      <c r="Y121" s="2">
        <f>DraftData[[#This Row],[Win Shares]]/DraftData[[#This Row],[Pick]]</f>
        <v>3.3333333333333335E-3</v>
      </c>
      <c r="Z121" s="2">
        <f>DraftData[[#This Row],[Win Shares]]-_xlfn.XLOOKUP(DraftData[[#This Row],[Pick]],'Lookup Tables'!$A$2:$A$31,'Lookup Tables'!$B$2:$B$31)</f>
        <v>-20.618181818181814</v>
      </c>
    </row>
    <row r="122" spans="1:26">
      <c r="A122">
        <v>2009</v>
      </c>
      <c r="B122">
        <v>1</v>
      </c>
      <c r="C122" t="s">
        <v>65</v>
      </c>
      <c r="D122" t="s">
        <v>239</v>
      </c>
      <c r="E122" t="s">
        <v>240</v>
      </c>
      <c r="F122">
        <v>716</v>
      </c>
      <c r="G122">
        <v>23730</v>
      </c>
      <c r="H122">
        <v>14306</v>
      </c>
      <c r="I122">
        <v>5935</v>
      </c>
      <c r="J122">
        <v>2985</v>
      </c>
      <c r="K122">
        <v>0.49299999999999999</v>
      </c>
      <c r="L122">
        <v>0.32600000000000001</v>
      </c>
      <c r="M122">
        <v>0.69599999999999995</v>
      </c>
      <c r="N122">
        <v>79.2</v>
      </c>
      <c r="O122">
        <v>0.16</v>
      </c>
      <c r="P122">
        <v>3.4</v>
      </c>
      <c r="Q122">
        <v>32.5</v>
      </c>
      <c r="R122">
        <v>33.1</v>
      </c>
      <c r="S122">
        <v>20</v>
      </c>
      <c r="T122">
        <v>8.3000000000000007</v>
      </c>
      <c r="U122">
        <v>4.2</v>
      </c>
      <c r="V122" t="str">
        <f>IF(DraftData[[#This Row],[Pick]]&lt;=5,"Top 5",
IF(DraftData[[#This Row],[Pick]]&lt;=14,"Lottery",
IF(DraftData[[#This Row],[Pick]]&lt;=20,"Mid First","Late First")))</f>
        <v>Top 5</v>
      </c>
      <c r="W122" t="str">
        <f>IF(DraftData[[#This Row],[Win Shares]]&gt;=80,"Star",
IF(DraftData[[#This Row],[Win Shares]]&gt;=30,"Starter",
IF(DraftData[[#This Row],[Win Shares]]&gt;=10,"Rotation","Minimal")))</f>
        <v>Starter</v>
      </c>
      <c r="X122" t="str">
        <f>IF(AND(DraftData[[#This Row],[Pick]]&lt;=14,DraftData[[#This Row],[Win Shares]]&lt;10),"Yes","No")</f>
        <v>No</v>
      </c>
      <c r="Y122" s="2">
        <f>DraftData[[#This Row],[Win Shares]]/DraftData[[#This Row],[Pick]]</f>
        <v>79.2</v>
      </c>
      <c r="Z122" s="2">
        <f>DraftData[[#This Row],[Win Shares]]-_xlfn.XLOOKUP(DraftData[[#This Row],[Pick]],'Lookup Tables'!$A$2:$A$31,'Lookup Tables'!$B$2:$B$31)</f>
        <v>35.616666666666667</v>
      </c>
    </row>
    <row r="123" spans="1:26">
      <c r="A123">
        <v>2009</v>
      </c>
      <c r="B123">
        <v>2</v>
      </c>
      <c r="C123" t="s">
        <v>80</v>
      </c>
      <c r="D123" t="s">
        <v>241</v>
      </c>
      <c r="E123" t="s">
        <v>54</v>
      </c>
      <c r="F123">
        <v>224</v>
      </c>
      <c r="G123">
        <v>2357</v>
      </c>
      <c r="H123">
        <v>483</v>
      </c>
      <c r="I123">
        <v>595</v>
      </c>
      <c r="J123">
        <v>27</v>
      </c>
      <c r="K123">
        <v>0.56699999999999995</v>
      </c>
      <c r="M123">
        <v>0.57799999999999996</v>
      </c>
      <c r="N123">
        <v>4.8</v>
      </c>
      <c r="O123">
        <v>9.9000000000000005E-2</v>
      </c>
      <c r="P123">
        <v>-2.7</v>
      </c>
      <c r="Q123">
        <v>-0.4</v>
      </c>
      <c r="R123">
        <v>10.5</v>
      </c>
      <c r="S123">
        <v>2.2000000000000002</v>
      </c>
      <c r="T123">
        <v>2.7</v>
      </c>
      <c r="U123">
        <v>0.1</v>
      </c>
      <c r="V123" t="str">
        <f>IF(DraftData[[#This Row],[Pick]]&lt;=5,"Top 5",
IF(DraftData[[#This Row],[Pick]]&lt;=14,"Lottery",
IF(DraftData[[#This Row],[Pick]]&lt;=20,"Mid First","Late First")))</f>
        <v>Top 5</v>
      </c>
      <c r="W123" t="str">
        <f>IF(DraftData[[#This Row],[Win Shares]]&gt;=80,"Star",
IF(DraftData[[#This Row],[Win Shares]]&gt;=30,"Starter",
IF(DraftData[[#This Row],[Win Shares]]&gt;=10,"Rotation","Minimal")))</f>
        <v>Minimal</v>
      </c>
      <c r="X123" t="str">
        <f>IF(AND(DraftData[[#This Row],[Pick]]&lt;=14,DraftData[[#This Row],[Win Shares]]&lt;10),"Yes","No")</f>
        <v>Yes</v>
      </c>
      <c r="Y123" s="2">
        <f>DraftData[[#This Row],[Win Shares]]/DraftData[[#This Row],[Pick]]</f>
        <v>2.4</v>
      </c>
      <c r="Z123" s="2">
        <f>DraftData[[#This Row],[Win Shares]]-_xlfn.XLOOKUP(DraftData[[#This Row],[Pick]],'Lookup Tables'!$A$2:$A$31,'Lookup Tables'!$B$2:$B$31)</f>
        <v>-34.991666666666667</v>
      </c>
    </row>
    <row r="124" spans="1:26">
      <c r="A124">
        <v>2009</v>
      </c>
      <c r="B124">
        <v>3</v>
      </c>
      <c r="C124" t="s">
        <v>96</v>
      </c>
      <c r="D124" t="s">
        <v>242</v>
      </c>
      <c r="E124" t="s">
        <v>60</v>
      </c>
      <c r="F124">
        <v>921</v>
      </c>
      <c r="G124">
        <v>31825</v>
      </c>
      <c r="H124">
        <v>23035</v>
      </c>
      <c r="I124">
        <v>5145</v>
      </c>
      <c r="J124">
        <v>6177</v>
      </c>
      <c r="K124">
        <v>0.443</v>
      </c>
      <c r="L124">
        <v>0.36199999999999999</v>
      </c>
      <c r="M124">
        <v>0.85899999999999999</v>
      </c>
      <c r="N124">
        <v>146.6</v>
      </c>
      <c r="O124">
        <v>0.221</v>
      </c>
      <c r="P124">
        <v>6.8</v>
      </c>
      <c r="Q124">
        <v>70.8</v>
      </c>
      <c r="R124">
        <v>34.6</v>
      </c>
      <c r="S124">
        <v>25</v>
      </c>
      <c r="T124">
        <v>5.6</v>
      </c>
      <c r="U124">
        <v>6.7</v>
      </c>
      <c r="V124" t="str">
        <f>IF(DraftData[[#This Row],[Pick]]&lt;=5,"Top 5",
IF(DraftData[[#This Row],[Pick]]&lt;=14,"Lottery",
IF(DraftData[[#This Row],[Pick]]&lt;=20,"Mid First","Late First")))</f>
        <v>Top 5</v>
      </c>
      <c r="W124" t="str">
        <f>IF(DraftData[[#This Row],[Win Shares]]&gt;=80,"Star",
IF(DraftData[[#This Row],[Win Shares]]&gt;=30,"Starter",
IF(DraftData[[#This Row],[Win Shares]]&gt;=10,"Rotation","Minimal")))</f>
        <v>Star</v>
      </c>
      <c r="X124" t="str">
        <f>IF(AND(DraftData[[#This Row],[Pick]]&lt;=14,DraftData[[#This Row],[Win Shares]]&lt;10),"Yes","No")</f>
        <v>No</v>
      </c>
      <c r="Y124" s="2">
        <f>DraftData[[#This Row],[Win Shares]]/DraftData[[#This Row],[Pick]]</f>
        <v>48.866666666666667</v>
      </c>
      <c r="Z124" s="2">
        <f>DraftData[[#This Row],[Win Shares]]-_xlfn.XLOOKUP(DraftData[[#This Row],[Pick]],'Lookup Tables'!$A$2:$A$31,'Lookup Tables'!$B$2:$B$31)</f>
        <v>95.833333333333314</v>
      </c>
    </row>
    <row r="125" spans="1:26">
      <c r="A125">
        <v>2009</v>
      </c>
      <c r="B125">
        <v>4</v>
      </c>
      <c r="C125" t="s">
        <v>91</v>
      </c>
      <c r="D125" t="s">
        <v>243</v>
      </c>
      <c r="E125" t="s">
        <v>135</v>
      </c>
      <c r="F125">
        <v>594</v>
      </c>
      <c r="G125">
        <v>18242</v>
      </c>
      <c r="H125">
        <v>9347</v>
      </c>
      <c r="I125">
        <v>2720</v>
      </c>
      <c r="J125">
        <v>2852</v>
      </c>
      <c r="K125">
        <v>0.44</v>
      </c>
      <c r="L125">
        <v>0.32300000000000001</v>
      </c>
      <c r="M125">
        <v>0.75700000000000001</v>
      </c>
      <c r="N125">
        <v>28.4</v>
      </c>
      <c r="O125">
        <v>7.4999999999999997E-2</v>
      </c>
      <c r="P125">
        <v>0.8</v>
      </c>
      <c r="Q125">
        <v>13.1</v>
      </c>
      <c r="R125">
        <v>30.7</v>
      </c>
      <c r="S125">
        <v>15.7</v>
      </c>
      <c r="T125">
        <v>4.5999999999999996</v>
      </c>
      <c r="U125">
        <v>4.8</v>
      </c>
      <c r="V125" t="str">
        <f>IF(DraftData[[#This Row],[Pick]]&lt;=5,"Top 5",
IF(DraftData[[#This Row],[Pick]]&lt;=14,"Lottery",
IF(DraftData[[#This Row],[Pick]]&lt;=20,"Mid First","Late First")))</f>
        <v>Top 5</v>
      </c>
      <c r="W125" t="str">
        <f>IF(DraftData[[#This Row],[Win Shares]]&gt;=80,"Star",
IF(DraftData[[#This Row],[Win Shares]]&gt;=30,"Starter",
IF(DraftData[[#This Row],[Win Shares]]&gt;=10,"Rotation","Minimal")))</f>
        <v>Rotation</v>
      </c>
      <c r="X125" t="str">
        <f>IF(AND(DraftData[[#This Row],[Pick]]&lt;=14,DraftData[[#This Row],[Win Shares]]&lt;10),"Yes","No")</f>
        <v>No</v>
      </c>
      <c r="Y125" s="2">
        <f>DraftData[[#This Row],[Win Shares]]/DraftData[[#This Row],[Pick]]</f>
        <v>7.1</v>
      </c>
      <c r="Z125" s="2">
        <f>DraftData[[#This Row],[Win Shares]]-_xlfn.XLOOKUP(DraftData[[#This Row],[Pick]],'Lookup Tables'!$A$2:$A$31,'Lookup Tables'!$B$2:$B$31)</f>
        <v>-20.158333333333339</v>
      </c>
    </row>
    <row r="126" spans="1:26">
      <c r="A126">
        <v>2009</v>
      </c>
      <c r="B126">
        <v>5</v>
      </c>
      <c r="C126" t="s">
        <v>68</v>
      </c>
      <c r="D126" t="s">
        <v>244</v>
      </c>
      <c r="F126">
        <v>665</v>
      </c>
      <c r="G126">
        <v>20128</v>
      </c>
      <c r="H126">
        <v>7399</v>
      </c>
      <c r="I126">
        <v>2760</v>
      </c>
      <c r="J126">
        <v>5045</v>
      </c>
      <c r="K126">
        <v>0.38900000000000001</v>
      </c>
      <c r="L126">
        <v>0.32600000000000001</v>
      </c>
      <c r="M126">
        <v>0.84299999999999997</v>
      </c>
      <c r="N126">
        <v>42</v>
      </c>
      <c r="O126">
        <v>0.1</v>
      </c>
      <c r="P126">
        <v>0.6</v>
      </c>
      <c r="Q126">
        <v>13.5</v>
      </c>
      <c r="R126">
        <v>30.3</v>
      </c>
      <c r="S126">
        <v>11.1</v>
      </c>
      <c r="T126">
        <v>4.2</v>
      </c>
      <c r="U126">
        <v>7.6</v>
      </c>
      <c r="V126" t="str">
        <f>IF(DraftData[[#This Row],[Pick]]&lt;=5,"Top 5",
IF(DraftData[[#This Row],[Pick]]&lt;=14,"Lottery",
IF(DraftData[[#This Row],[Pick]]&lt;=20,"Mid First","Late First")))</f>
        <v>Top 5</v>
      </c>
      <c r="W126" t="str">
        <f>IF(DraftData[[#This Row],[Win Shares]]&gt;=80,"Star",
IF(DraftData[[#This Row],[Win Shares]]&gt;=30,"Starter",
IF(DraftData[[#This Row],[Win Shares]]&gt;=10,"Rotation","Minimal")))</f>
        <v>Starter</v>
      </c>
      <c r="X126" t="str">
        <f>IF(AND(DraftData[[#This Row],[Pick]]&lt;=14,DraftData[[#This Row],[Win Shares]]&lt;10),"Yes","No")</f>
        <v>No</v>
      </c>
      <c r="Y126" s="2">
        <f>DraftData[[#This Row],[Win Shares]]/DraftData[[#This Row],[Pick]]</f>
        <v>8.4</v>
      </c>
      <c r="Z126" s="2">
        <f>DraftData[[#This Row],[Win Shares]]-_xlfn.XLOOKUP(DraftData[[#This Row],[Pick]],'Lookup Tables'!$A$2:$A$31,'Lookup Tables'!$B$2:$B$31)</f>
        <v>10.641666666666662</v>
      </c>
    </row>
    <row r="127" spans="1:26">
      <c r="A127">
        <v>2009</v>
      </c>
      <c r="B127">
        <v>6</v>
      </c>
      <c r="C127" t="s">
        <v>68</v>
      </c>
      <c r="D127" t="s">
        <v>245</v>
      </c>
      <c r="E127" t="s">
        <v>82</v>
      </c>
      <c r="F127">
        <v>163</v>
      </c>
      <c r="G127">
        <v>3738</v>
      </c>
      <c r="H127">
        <v>1504</v>
      </c>
      <c r="I127">
        <v>307</v>
      </c>
      <c r="J127">
        <v>634</v>
      </c>
      <c r="K127">
        <v>0.4</v>
      </c>
      <c r="L127">
        <v>0.33800000000000002</v>
      </c>
      <c r="M127">
        <v>0.80900000000000005</v>
      </c>
      <c r="N127">
        <v>-1.1000000000000001</v>
      </c>
      <c r="O127">
        <v>-1.4999999999999999E-2</v>
      </c>
      <c r="P127">
        <v>-4</v>
      </c>
      <c r="Q127">
        <v>-1.9</v>
      </c>
      <c r="R127">
        <v>22.9</v>
      </c>
      <c r="S127">
        <v>9.1999999999999993</v>
      </c>
      <c r="T127">
        <v>1.9</v>
      </c>
      <c r="U127">
        <v>3.9</v>
      </c>
      <c r="V127" t="str">
        <f>IF(DraftData[[#This Row],[Pick]]&lt;=5,"Top 5",
IF(DraftData[[#This Row],[Pick]]&lt;=14,"Lottery",
IF(DraftData[[#This Row],[Pick]]&lt;=20,"Mid First","Late First")))</f>
        <v>Lottery</v>
      </c>
      <c r="W127" t="str">
        <f>IF(DraftData[[#This Row],[Win Shares]]&gt;=80,"Star",
IF(DraftData[[#This Row],[Win Shares]]&gt;=30,"Starter",
IF(DraftData[[#This Row],[Win Shares]]&gt;=10,"Rotation","Minimal")))</f>
        <v>Minimal</v>
      </c>
      <c r="X127" t="str">
        <f>IF(AND(DraftData[[#This Row],[Pick]]&lt;=14,DraftData[[#This Row],[Win Shares]]&lt;10),"Yes","No")</f>
        <v>Yes</v>
      </c>
      <c r="Y127" s="2">
        <f>DraftData[[#This Row],[Win Shares]]/DraftData[[#This Row],[Pick]]</f>
        <v>-0.18333333333333335</v>
      </c>
      <c r="Z127" s="2">
        <f>DraftData[[#This Row],[Win Shares]]-_xlfn.XLOOKUP(DraftData[[#This Row],[Pick]],'Lookup Tables'!$A$2:$A$31,'Lookup Tables'!$B$2:$B$31)</f>
        <v>-28.758333333333336</v>
      </c>
    </row>
    <row r="128" spans="1:26">
      <c r="A128">
        <v>2009</v>
      </c>
      <c r="B128">
        <v>7</v>
      </c>
      <c r="C128" t="s">
        <v>58</v>
      </c>
      <c r="D128" t="s">
        <v>246</v>
      </c>
      <c r="E128" t="s">
        <v>247</v>
      </c>
      <c r="F128">
        <v>816</v>
      </c>
      <c r="G128">
        <v>28031</v>
      </c>
      <c r="H128">
        <v>19827</v>
      </c>
      <c r="I128">
        <v>3789</v>
      </c>
      <c r="J128">
        <v>5326</v>
      </c>
      <c r="K128">
        <v>0.47299999999999998</v>
      </c>
      <c r="L128">
        <v>0.42799999999999999</v>
      </c>
      <c r="M128">
        <v>0.90800000000000003</v>
      </c>
      <c r="N128">
        <v>119.4</v>
      </c>
      <c r="O128">
        <v>0.20399999999999999</v>
      </c>
      <c r="P128">
        <v>6.5</v>
      </c>
      <c r="Q128">
        <v>60.4</v>
      </c>
      <c r="R128">
        <v>34.4</v>
      </c>
      <c r="S128">
        <v>24.3</v>
      </c>
      <c r="T128">
        <v>4.5999999999999996</v>
      </c>
      <c r="U128">
        <v>6.5</v>
      </c>
      <c r="V128" t="str">
        <f>IF(DraftData[[#This Row],[Pick]]&lt;=5,"Top 5",
IF(DraftData[[#This Row],[Pick]]&lt;=14,"Lottery",
IF(DraftData[[#This Row],[Pick]]&lt;=20,"Mid First","Late First")))</f>
        <v>Lottery</v>
      </c>
      <c r="W128" t="str">
        <f>IF(DraftData[[#This Row],[Win Shares]]&gt;=80,"Star",
IF(DraftData[[#This Row],[Win Shares]]&gt;=30,"Starter",
IF(DraftData[[#This Row],[Win Shares]]&gt;=10,"Rotation","Minimal")))</f>
        <v>Star</v>
      </c>
      <c r="X128" t="str">
        <f>IF(AND(DraftData[[#This Row],[Pick]]&lt;=14,DraftData[[#This Row],[Win Shares]]&lt;10),"Yes","No")</f>
        <v>No</v>
      </c>
      <c r="Y128" s="2">
        <f>DraftData[[#This Row],[Win Shares]]/DraftData[[#This Row],[Pick]]</f>
        <v>17.057142857142857</v>
      </c>
      <c r="Z128" s="2">
        <f>DraftData[[#This Row],[Win Shares]]-_xlfn.XLOOKUP(DraftData[[#This Row],[Pick]],'Lookup Tables'!$A$2:$A$31,'Lookup Tables'!$B$2:$B$31)</f>
        <v>85.424999999999997</v>
      </c>
    </row>
    <row r="129" spans="1:26">
      <c r="A129">
        <v>2009</v>
      </c>
      <c r="B129">
        <v>8</v>
      </c>
      <c r="C129" t="s">
        <v>55</v>
      </c>
      <c r="D129" t="s">
        <v>248</v>
      </c>
      <c r="E129" t="s">
        <v>57</v>
      </c>
      <c r="F129">
        <v>409</v>
      </c>
      <c r="G129">
        <v>7692</v>
      </c>
      <c r="H129">
        <v>3232</v>
      </c>
      <c r="I129">
        <v>2389</v>
      </c>
      <c r="J129">
        <v>322</v>
      </c>
      <c r="K129">
        <v>0.497</v>
      </c>
      <c r="L129">
        <v>0.13600000000000001</v>
      </c>
      <c r="M129">
        <v>0.69899999999999995</v>
      </c>
      <c r="N129">
        <v>16.399999999999999</v>
      </c>
      <c r="O129">
        <v>0.10199999999999999</v>
      </c>
      <c r="P129">
        <v>-2</v>
      </c>
      <c r="Q129">
        <v>0</v>
      </c>
      <c r="R129">
        <v>18.8</v>
      </c>
      <c r="S129">
        <v>7.9</v>
      </c>
      <c r="T129">
        <v>5.8</v>
      </c>
      <c r="U129">
        <v>0.8</v>
      </c>
      <c r="V129" t="str">
        <f>IF(DraftData[[#This Row],[Pick]]&lt;=5,"Top 5",
IF(DraftData[[#This Row],[Pick]]&lt;=14,"Lottery",
IF(DraftData[[#This Row],[Pick]]&lt;=20,"Mid First","Late First")))</f>
        <v>Lottery</v>
      </c>
      <c r="W129" t="str">
        <f>IF(DraftData[[#This Row],[Win Shares]]&gt;=80,"Star",
IF(DraftData[[#This Row],[Win Shares]]&gt;=30,"Starter",
IF(DraftData[[#This Row],[Win Shares]]&gt;=10,"Rotation","Minimal")))</f>
        <v>Rotation</v>
      </c>
      <c r="X129" t="str">
        <f>IF(AND(DraftData[[#This Row],[Pick]]&lt;=14,DraftData[[#This Row],[Win Shares]]&lt;10),"Yes","No")</f>
        <v>No</v>
      </c>
      <c r="Y129" s="2">
        <f>DraftData[[#This Row],[Win Shares]]/DraftData[[#This Row],[Pick]]</f>
        <v>2.0499999999999998</v>
      </c>
      <c r="Z129" s="2">
        <f>DraftData[[#This Row],[Win Shares]]-_xlfn.XLOOKUP(DraftData[[#This Row],[Pick]],'Lookup Tables'!$A$2:$A$31,'Lookup Tables'!$B$2:$B$31)</f>
        <v>-4.7583333333333329</v>
      </c>
    </row>
    <row r="130" spans="1:26">
      <c r="A130">
        <v>2009</v>
      </c>
      <c r="B130">
        <v>9</v>
      </c>
      <c r="C130" t="s">
        <v>52</v>
      </c>
      <c r="D130" t="s">
        <v>249</v>
      </c>
      <c r="E130" t="s">
        <v>179</v>
      </c>
      <c r="F130">
        <v>936</v>
      </c>
      <c r="G130">
        <v>32006</v>
      </c>
      <c r="H130">
        <v>19298</v>
      </c>
      <c r="I130">
        <v>4122</v>
      </c>
      <c r="J130">
        <v>3638</v>
      </c>
      <c r="K130">
        <v>0.46500000000000002</v>
      </c>
      <c r="L130">
        <v>0.28499999999999998</v>
      </c>
      <c r="M130">
        <v>0.83599999999999997</v>
      </c>
      <c r="N130">
        <v>82.7</v>
      </c>
      <c r="O130">
        <v>0.124</v>
      </c>
      <c r="P130">
        <v>0.7</v>
      </c>
      <c r="Q130">
        <v>22.2</v>
      </c>
      <c r="R130">
        <v>34.200000000000003</v>
      </c>
      <c r="S130">
        <v>20.6</v>
      </c>
      <c r="T130">
        <v>4.4000000000000004</v>
      </c>
      <c r="U130">
        <v>3.9</v>
      </c>
      <c r="V130" t="str">
        <f>IF(DraftData[[#This Row],[Pick]]&lt;=5,"Top 5",
IF(DraftData[[#This Row],[Pick]]&lt;=14,"Lottery",
IF(DraftData[[#This Row],[Pick]]&lt;=20,"Mid First","Late First")))</f>
        <v>Lottery</v>
      </c>
      <c r="W130" t="str">
        <f>IF(DraftData[[#This Row],[Win Shares]]&gt;=80,"Star",
IF(DraftData[[#This Row],[Win Shares]]&gt;=30,"Starter",
IF(DraftData[[#This Row],[Win Shares]]&gt;=10,"Rotation","Minimal")))</f>
        <v>Star</v>
      </c>
      <c r="X130" t="str">
        <f>IF(AND(DraftData[[#This Row],[Pick]]&lt;=14,DraftData[[#This Row],[Win Shares]]&lt;10),"Yes","No")</f>
        <v>No</v>
      </c>
      <c r="Y130" s="2">
        <f>DraftData[[#This Row],[Win Shares]]/DraftData[[#This Row],[Pick]]</f>
        <v>9.18888888888889</v>
      </c>
      <c r="Z130" s="2">
        <f>DraftData[[#This Row],[Win Shares]]-_xlfn.XLOOKUP(DraftData[[#This Row],[Pick]],'Lookup Tables'!$A$2:$A$31,'Lookup Tables'!$B$2:$B$31)</f>
        <v>45.308333333333337</v>
      </c>
    </row>
    <row r="131" spans="1:26">
      <c r="A131">
        <v>2009</v>
      </c>
      <c r="B131">
        <v>10</v>
      </c>
      <c r="C131" t="s">
        <v>36</v>
      </c>
      <c r="D131" t="s">
        <v>250</v>
      </c>
      <c r="F131">
        <v>555</v>
      </c>
      <c r="G131">
        <v>16844</v>
      </c>
      <c r="H131">
        <v>7801</v>
      </c>
      <c r="I131">
        <v>1659</v>
      </c>
      <c r="J131">
        <v>3151</v>
      </c>
      <c r="K131">
        <v>0.38700000000000001</v>
      </c>
      <c r="L131">
        <v>0.34499999999999997</v>
      </c>
      <c r="M131">
        <v>0.79600000000000004</v>
      </c>
      <c r="N131">
        <v>29.9</v>
      </c>
      <c r="O131">
        <v>8.5000000000000006E-2</v>
      </c>
      <c r="P131">
        <v>0.8</v>
      </c>
      <c r="Q131">
        <v>11.8</v>
      </c>
      <c r="R131">
        <v>30.3</v>
      </c>
      <c r="S131">
        <v>14.1</v>
      </c>
      <c r="T131">
        <v>3</v>
      </c>
      <c r="U131">
        <v>5.7</v>
      </c>
      <c r="V131" t="str">
        <f>IF(DraftData[[#This Row],[Pick]]&lt;=5,"Top 5",
IF(DraftData[[#This Row],[Pick]]&lt;=14,"Lottery",
IF(DraftData[[#This Row],[Pick]]&lt;=20,"Mid First","Late First")))</f>
        <v>Lottery</v>
      </c>
      <c r="W131" t="str">
        <f>IF(DraftData[[#This Row],[Win Shares]]&gt;=80,"Star",
IF(DraftData[[#This Row],[Win Shares]]&gt;=30,"Starter",
IF(DraftData[[#This Row],[Win Shares]]&gt;=10,"Rotation","Minimal")))</f>
        <v>Rotation</v>
      </c>
      <c r="X131" t="str">
        <f>IF(AND(DraftData[[#This Row],[Pick]]&lt;=14,DraftData[[#This Row],[Win Shares]]&lt;10),"Yes","No")</f>
        <v>No</v>
      </c>
      <c r="Y131" s="2">
        <f>DraftData[[#This Row],[Win Shares]]/DraftData[[#This Row],[Pick]]</f>
        <v>2.9899999999999998</v>
      </c>
      <c r="Z131" s="2">
        <f>DraftData[[#This Row],[Win Shares]]-_xlfn.XLOOKUP(DraftData[[#This Row],[Pick]],'Lookup Tables'!$A$2:$A$31,'Lookup Tables'!$B$2:$B$31)</f>
        <v>3.0500000000000007</v>
      </c>
    </row>
    <row r="132" spans="1:26">
      <c r="A132">
        <v>2009</v>
      </c>
      <c r="B132">
        <v>11</v>
      </c>
      <c r="C132" t="s">
        <v>70</v>
      </c>
      <c r="D132" t="s">
        <v>251</v>
      </c>
      <c r="E132" t="s">
        <v>93</v>
      </c>
      <c r="F132">
        <v>153</v>
      </c>
      <c r="G132">
        <v>2922</v>
      </c>
      <c r="H132">
        <v>1085</v>
      </c>
      <c r="I132">
        <v>545</v>
      </c>
      <c r="J132">
        <v>364</v>
      </c>
      <c r="K132">
        <v>0.41199999999999998</v>
      </c>
      <c r="L132">
        <v>0.317</v>
      </c>
      <c r="M132">
        <v>0.65900000000000003</v>
      </c>
      <c r="N132">
        <v>-0.2</v>
      </c>
      <c r="O132">
        <v>-4.0000000000000001E-3</v>
      </c>
      <c r="P132">
        <v>-2.8</v>
      </c>
      <c r="Q132">
        <v>-0.6</v>
      </c>
      <c r="R132">
        <v>19.100000000000001</v>
      </c>
      <c r="S132">
        <v>7.1</v>
      </c>
      <c r="T132">
        <v>3.6</v>
      </c>
      <c r="U132">
        <v>2.4</v>
      </c>
      <c r="V132" t="str">
        <f>IF(DraftData[[#This Row],[Pick]]&lt;=5,"Top 5",
IF(DraftData[[#This Row],[Pick]]&lt;=14,"Lottery",
IF(DraftData[[#This Row],[Pick]]&lt;=20,"Mid First","Late First")))</f>
        <v>Lottery</v>
      </c>
      <c r="W132" t="str">
        <f>IF(DraftData[[#This Row],[Win Shares]]&gt;=80,"Star",
IF(DraftData[[#This Row],[Win Shares]]&gt;=30,"Starter",
IF(DraftData[[#This Row],[Win Shares]]&gt;=10,"Rotation","Minimal")))</f>
        <v>Minimal</v>
      </c>
      <c r="X132" t="str">
        <f>IF(AND(DraftData[[#This Row],[Pick]]&lt;=14,DraftData[[#This Row],[Win Shares]]&lt;10),"Yes","No")</f>
        <v>Yes</v>
      </c>
      <c r="Y132" s="2">
        <f>DraftData[[#This Row],[Win Shares]]/DraftData[[#This Row],[Pick]]</f>
        <v>-1.8181818181818184E-2</v>
      </c>
      <c r="Z132" s="2">
        <f>DraftData[[#This Row],[Win Shares]]-_xlfn.XLOOKUP(DraftData[[#This Row],[Pick]],'Lookup Tables'!$A$2:$A$31,'Lookup Tables'!$B$2:$B$31)</f>
        <v>-22.9</v>
      </c>
    </row>
    <row r="133" spans="1:26">
      <c r="A133">
        <v>2009</v>
      </c>
      <c r="B133">
        <v>12</v>
      </c>
      <c r="C133" t="s">
        <v>48</v>
      </c>
      <c r="D133" t="s">
        <v>252</v>
      </c>
      <c r="E133" t="s">
        <v>119</v>
      </c>
      <c r="F133">
        <v>535</v>
      </c>
      <c r="G133">
        <v>13854</v>
      </c>
      <c r="H133">
        <v>5987</v>
      </c>
      <c r="I133">
        <v>1716</v>
      </c>
      <c r="J133">
        <v>1009</v>
      </c>
      <c r="K133">
        <v>0.44</v>
      </c>
      <c r="L133">
        <v>0.32700000000000001</v>
      </c>
      <c r="M133">
        <v>0.79300000000000004</v>
      </c>
      <c r="N133">
        <v>18.3</v>
      </c>
      <c r="O133">
        <v>6.3E-2</v>
      </c>
      <c r="P133">
        <v>-1.8</v>
      </c>
      <c r="Q133">
        <v>0.6</v>
      </c>
      <c r="R133">
        <v>25.9</v>
      </c>
      <c r="S133">
        <v>11.2</v>
      </c>
      <c r="T133">
        <v>3.2</v>
      </c>
      <c r="U133">
        <v>1.9</v>
      </c>
      <c r="V133" t="str">
        <f>IF(DraftData[[#This Row],[Pick]]&lt;=5,"Top 5",
IF(DraftData[[#This Row],[Pick]]&lt;=14,"Lottery",
IF(DraftData[[#This Row],[Pick]]&lt;=20,"Mid First","Late First")))</f>
        <v>Lottery</v>
      </c>
      <c r="W133" t="str">
        <f>IF(DraftData[[#This Row],[Win Shares]]&gt;=80,"Star",
IF(DraftData[[#This Row],[Win Shares]]&gt;=30,"Starter",
IF(DraftData[[#This Row],[Win Shares]]&gt;=10,"Rotation","Minimal")))</f>
        <v>Rotation</v>
      </c>
      <c r="X133" t="str">
        <f>IF(AND(DraftData[[#This Row],[Pick]]&lt;=14,DraftData[[#This Row],[Win Shares]]&lt;10),"Yes","No")</f>
        <v>No</v>
      </c>
      <c r="Y133" s="2">
        <f>DraftData[[#This Row],[Win Shares]]/DraftData[[#This Row],[Pick]]</f>
        <v>1.5250000000000001</v>
      </c>
      <c r="Z133" s="2">
        <f>DraftData[[#This Row],[Win Shares]]-_xlfn.XLOOKUP(DraftData[[#This Row],[Pick]],'Lookup Tables'!$A$2:$A$31,'Lookup Tables'!$B$2:$B$31)</f>
        <v>-3.0166666666666657</v>
      </c>
    </row>
    <row r="134" spans="1:26">
      <c r="A134">
        <v>2009</v>
      </c>
      <c r="B134">
        <v>13</v>
      </c>
      <c r="C134" t="s">
        <v>75</v>
      </c>
      <c r="D134" t="s">
        <v>253</v>
      </c>
      <c r="E134" t="s">
        <v>41</v>
      </c>
      <c r="F134">
        <v>428</v>
      </c>
      <c r="G134">
        <v>7233</v>
      </c>
      <c r="H134">
        <v>2881</v>
      </c>
      <c r="I134">
        <v>1808</v>
      </c>
      <c r="J134">
        <v>181</v>
      </c>
      <c r="K134">
        <v>0.439</v>
      </c>
      <c r="L134">
        <v>0.13600000000000001</v>
      </c>
      <c r="M134">
        <v>0.73799999999999999</v>
      </c>
      <c r="N134">
        <v>20.2</v>
      </c>
      <c r="O134">
        <v>0.13400000000000001</v>
      </c>
      <c r="P134">
        <v>-2</v>
      </c>
      <c r="Q134">
        <v>0</v>
      </c>
      <c r="R134">
        <v>16.899999999999999</v>
      </c>
      <c r="S134">
        <v>6.7</v>
      </c>
      <c r="T134">
        <v>4.2</v>
      </c>
      <c r="U134">
        <v>0.4</v>
      </c>
      <c r="V134" t="str">
        <f>IF(DraftData[[#This Row],[Pick]]&lt;=5,"Top 5",
IF(DraftData[[#This Row],[Pick]]&lt;=14,"Lottery",
IF(DraftData[[#This Row],[Pick]]&lt;=20,"Mid First","Late First")))</f>
        <v>Lottery</v>
      </c>
      <c r="W134" t="str">
        <f>IF(DraftData[[#This Row],[Win Shares]]&gt;=80,"Star",
IF(DraftData[[#This Row],[Win Shares]]&gt;=30,"Starter",
IF(DraftData[[#This Row],[Win Shares]]&gt;=10,"Rotation","Minimal")))</f>
        <v>Rotation</v>
      </c>
      <c r="X134" t="str">
        <f>IF(AND(DraftData[[#This Row],[Pick]]&lt;=14,DraftData[[#This Row],[Win Shares]]&lt;10),"Yes","No")</f>
        <v>No</v>
      </c>
      <c r="Y134" s="2">
        <f>DraftData[[#This Row],[Win Shares]]/DraftData[[#This Row],[Pick]]</f>
        <v>1.5538461538461539</v>
      </c>
      <c r="Z134" s="2">
        <f>DraftData[[#This Row],[Win Shares]]-_xlfn.XLOOKUP(DraftData[[#This Row],[Pick]],'Lookup Tables'!$A$2:$A$31,'Lookup Tables'!$B$2:$B$31)</f>
        <v>0.86666666666666714</v>
      </c>
    </row>
    <row r="135" spans="1:26">
      <c r="A135">
        <v>2009</v>
      </c>
      <c r="B135">
        <v>14</v>
      </c>
      <c r="C135" t="s">
        <v>86</v>
      </c>
      <c r="D135" t="s">
        <v>254</v>
      </c>
      <c r="E135" t="s">
        <v>93</v>
      </c>
      <c r="F135">
        <v>261</v>
      </c>
      <c r="G135">
        <v>3630</v>
      </c>
      <c r="H135">
        <v>1138</v>
      </c>
      <c r="I135">
        <v>778</v>
      </c>
      <c r="J135">
        <v>134</v>
      </c>
      <c r="K135">
        <v>0.40300000000000002</v>
      </c>
      <c r="L135">
        <v>0.32800000000000001</v>
      </c>
      <c r="M135">
        <v>0.66400000000000003</v>
      </c>
      <c r="N135">
        <v>2.9</v>
      </c>
      <c r="O135">
        <v>3.7999999999999999E-2</v>
      </c>
      <c r="P135">
        <v>-2.8</v>
      </c>
      <c r="Q135">
        <v>-0.8</v>
      </c>
      <c r="R135">
        <v>13.9</v>
      </c>
      <c r="S135">
        <v>4.4000000000000004</v>
      </c>
      <c r="T135">
        <v>3</v>
      </c>
      <c r="U135">
        <v>0.5</v>
      </c>
      <c r="V135" t="str">
        <f>IF(DraftData[[#This Row],[Pick]]&lt;=5,"Top 5",
IF(DraftData[[#This Row],[Pick]]&lt;=14,"Lottery",
IF(DraftData[[#This Row],[Pick]]&lt;=20,"Mid First","Late First")))</f>
        <v>Lottery</v>
      </c>
      <c r="W135" t="str">
        <f>IF(DraftData[[#This Row],[Win Shares]]&gt;=80,"Star",
IF(DraftData[[#This Row],[Win Shares]]&gt;=30,"Starter",
IF(DraftData[[#This Row],[Win Shares]]&gt;=10,"Rotation","Minimal")))</f>
        <v>Minimal</v>
      </c>
      <c r="X135" t="str">
        <f>IF(AND(DraftData[[#This Row],[Pick]]&lt;=14,DraftData[[#This Row],[Win Shares]]&lt;10),"Yes","No")</f>
        <v>Yes</v>
      </c>
      <c r="Y135" s="2">
        <f>DraftData[[#This Row],[Win Shares]]/DraftData[[#This Row],[Pick]]</f>
        <v>0.20714285714285713</v>
      </c>
      <c r="Z135" s="2">
        <f>DraftData[[#This Row],[Win Shares]]-_xlfn.XLOOKUP(DraftData[[#This Row],[Pick]],'Lookup Tables'!$A$2:$A$31,'Lookup Tables'!$B$2:$B$31)</f>
        <v>-11.849999999999998</v>
      </c>
    </row>
    <row r="136" spans="1:26">
      <c r="A136">
        <v>2009</v>
      </c>
      <c r="B136">
        <v>15</v>
      </c>
      <c r="C136" t="s">
        <v>98</v>
      </c>
      <c r="D136" t="s">
        <v>255</v>
      </c>
      <c r="E136" t="s">
        <v>115</v>
      </c>
      <c r="F136">
        <v>293</v>
      </c>
      <c r="G136">
        <v>4132</v>
      </c>
      <c r="H136">
        <v>1522</v>
      </c>
      <c r="I136">
        <v>764</v>
      </c>
      <c r="J136">
        <v>212</v>
      </c>
      <c r="K136">
        <v>0.40200000000000002</v>
      </c>
      <c r="L136">
        <v>0.35099999999999998</v>
      </c>
      <c r="M136">
        <v>0.77800000000000002</v>
      </c>
      <c r="N136">
        <v>4.5</v>
      </c>
      <c r="O136">
        <v>5.2999999999999999E-2</v>
      </c>
      <c r="P136">
        <v>-2</v>
      </c>
      <c r="Q136">
        <v>0</v>
      </c>
      <c r="R136">
        <v>14.1</v>
      </c>
      <c r="S136">
        <v>5.2</v>
      </c>
      <c r="T136">
        <v>2.6</v>
      </c>
      <c r="U136">
        <v>0.7</v>
      </c>
      <c r="V136" t="str">
        <f>IF(DraftData[[#This Row],[Pick]]&lt;=5,"Top 5",
IF(DraftData[[#This Row],[Pick]]&lt;=14,"Lottery",
IF(DraftData[[#This Row],[Pick]]&lt;=20,"Mid First","Late First")))</f>
        <v>Mid First</v>
      </c>
      <c r="W136" t="str">
        <f>IF(DraftData[[#This Row],[Win Shares]]&gt;=80,"Star",
IF(DraftData[[#This Row],[Win Shares]]&gt;=30,"Starter",
IF(DraftData[[#This Row],[Win Shares]]&gt;=10,"Rotation","Minimal")))</f>
        <v>Minimal</v>
      </c>
      <c r="X136" t="str">
        <f>IF(AND(DraftData[[#This Row],[Pick]]&lt;=14,DraftData[[#This Row],[Win Shares]]&lt;10),"Yes","No")</f>
        <v>No</v>
      </c>
      <c r="Y136" s="2">
        <f>DraftData[[#This Row],[Win Shares]]/DraftData[[#This Row],[Pick]]</f>
        <v>0.3</v>
      </c>
      <c r="Z136" s="2">
        <f>DraftData[[#This Row],[Win Shares]]-_xlfn.XLOOKUP(DraftData[[#This Row],[Pick]],'Lookup Tables'!$A$2:$A$31,'Lookup Tables'!$B$2:$B$31)</f>
        <v>-21.283333333333331</v>
      </c>
    </row>
    <row r="137" spans="1:26">
      <c r="A137">
        <v>2009</v>
      </c>
      <c r="B137">
        <v>16</v>
      </c>
      <c r="C137" t="s">
        <v>111</v>
      </c>
      <c r="D137" t="s">
        <v>256</v>
      </c>
      <c r="E137" t="s">
        <v>47</v>
      </c>
      <c r="F137">
        <v>728</v>
      </c>
      <c r="G137">
        <v>14953</v>
      </c>
      <c r="H137">
        <v>5677</v>
      </c>
      <c r="I137">
        <v>2614</v>
      </c>
      <c r="J137">
        <v>1538</v>
      </c>
      <c r="K137">
        <v>0.47499999999999998</v>
      </c>
      <c r="L137">
        <v>0.30199999999999999</v>
      </c>
      <c r="M137">
        <v>0.68</v>
      </c>
      <c r="N137">
        <v>27</v>
      </c>
      <c r="O137">
        <v>8.6999999999999994E-2</v>
      </c>
      <c r="P137">
        <v>0.5</v>
      </c>
      <c r="Q137">
        <v>9.4</v>
      </c>
      <c r="R137">
        <v>20.5</v>
      </c>
      <c r="S137">
        <v>7.8</v>
      </c>
      <c r="T137">
        <v>3.6</v>
      </c>
      <c r="U137">
        <v>2.1</v>
      </c>
      <c r="V137" t="str">
        <f>IF(DraftData[[#This Row],[Pick]]&lt;=5,"Top 5",
IF(DraftData[[#This Row],[Pick]]&lt;=14,"Lottery",
IF(DraftData[[#This Row],[Pick]]&lt;=20,"Mid First","Late First")))</f>
        <v>Mid First</v>
      </c>
      <c r="W137" t="str">
        <f>IF(DraftData[[#This Row],[Win Shares]]&gt;=80,"Star",
IF(DraftData[[#This Row],[Win Shares]]&gt;=30,"Starter",
IF(DraftData[[#This Row],[Win Shares]]&gt;=10,"Rotation","Minimal")))</f>
        <v>Rotation</v>
      </c>
      <c r="X137" t="str">
        <f>IF(AND(DraftData[[#This Row],[Pick]]&lt;=14,DraftData[[#This Row],[Win Shares]]&lt;10),"Yes","No")</f>
        <v>No</v>
      </c>
      <c r="Y137" s="2">
        <f>DraftData[[#This Row],[Win Shares]]/DraftData[[#This Row],[Pick]]</f>
        <v>1.6875</v>
      </c>
      <c r="Z137" s="2">
        <f>DraftData[[#This Row],[Win Shares]]-_xlfn.XLOOKUP(DraftData[[#This Row],[Pick]],'Lookup Tables'!$A$2:$A$31,'Lookup Tables'!$B$2:$B$31)</f>
        <v>10.016666666666666</v>
      </c>
    </row>
    <row r="138" spans="1:26">
      <c r="A138">
        <v>2009</v>
      </c>
      <c r="B138">
        <v>17</v>
      </c>
      <c r="C138" t="s">
        <v>129</v>
      </c>
      <c r="D138" t="s">
        <v>257</v>
      </c>
      <c r="E138" t="s">
        <v>152</v>
      </c>
      <c r="F138">
        <v>819</v>
      </c>
      <c r="G138">
        <v>27163</v>
      </c>
      <c r="H138">
        <v>13212</v>
      </c>
      <c r="I138">
        <v>3276</v>
      </c>
      <c r="J138">
        <v>5225</v>
      </c>
      <c r="K138">
        <v>0.46</v>
      </c>
      <c r="L138">
        <v>0.36099999999999999</v>
      </c>
      <c r="M138">
        <v>0.77700000000000002</v>
      </c>
      <c r="N138">
        <v>54.5</v>
      </c>
      <c r="O138">
        <v>9.6000000000000002E-2</v>
      </c>
      <c r="P138">
        <v>1.5</v>
      </c>
      <c r="Q138">
        <v>23.7</v>
      </c>
      <c r="R138">
        <v>33.200000000000003</v>
      </c>
      <c r="S138">
        <v>16.100000000000001</v>
      </c>
      <c r="T138">
        <v>4</v>
      </c>
      <c r="U138">
        <v>6.4</v>
      </c>
      <c r="V138" t="str">
        <f>IF(DraftData[[#This Row],[Pick]]&lt;=5,"Top 5",
IF(DraftData[[#This Row],[Pick]]&lt;=14,"Lottery",
IF(DraftData[[#This Row],[Pick]]&lt;=20,"Mid First","Late First")))</f>
        <v>Mid First</v>
      </c>
      <c r="W138" t="str">
        <f>IF(DraftData[[#This Row],[Win Shares]]&gt;=80,"Star",
IF(DraftData[[#This Row],[Win Shares]]&gt;=30,"Starter",
IF(DraftData[[#This Row],[Win Shares]]&gt;=10,"Rotation","Minimal")))</f>
        <v>Starter</v>
      </c>
      <c r="X138" t="str">
        <f>IF(AND(DraftData[[#This Row],[Pick]]&lt;=14,DraftData[[#This Row],[Win Shares]]&lt;10),"Yes","No")</f>
        <v>No</v>
      </c>
      <c r="Y138" s="2">
        <f>DraftData[[#This Row],[Win Shares]]/DraftData[[#This Row],[Pick]]</f>
        <v>3.2058823529411766</v>
      </c>
      <c r="Z138" s="2">
        <f>DraftData[[#This Row],[Win Shares]]-_xlfn.XLOOKUP(DraftData[[#This Row],[Pick]],'Lookup Tables'!$A$2:$A$31,'Lookup Tables'!$B$2:$B$31)</f>
        <v>37.183333333333337</v>
      </c>
    </row>
    <row r="139" spans="1:26">
      <c r="A139">
        <v>2009</v>
      </c>
      <c r="B139">
        <v>18</v>
      </c>
      <c r="C139" t="s">
        <v>68</v>
      </c>
      <c r="D139" t="s">
        <v>258</v>
      </c>
      <c r="E139" t="s">
        <v>41</v>
      </c>
      <c r="F139">
        <v>551</v>
      </c>
      <c r="G139">
        <v>16088</v>
      </c>
      <c r="H139">
        <v>6977</v>
      </c>
      <c r="I139">
        <v>1506</v>
      </c>
      <c r="J139">
        <v>3316</v>
      </c>
      <c r="K139">
        <v>0.46</v>
      </c>
      <c r="L139">
        <v>0.35899999999999999</v>
      </c>
      <c r="M139">
        <v>0.77</v>
      </c>
      <c r="N139">
        <v>42.1</v>
      </c>
      <c r="O139">
        <v>0.126</v>
      </c>
      <c r="P139">
        <v>1.4</v>
      </c>
      <c r="Q139">
        <v>13.6</v>
      </c>
      <c r="R139">
        <v>29.2</v>
      </c>
      <c r="S139">
        <v>12.7</v>
      </c>
      <c r="T139">
        <v>2.7</v>
      </c>
      <c r="U139">
        <v>6</v>
      </c>
      <c r="V139" t="str">
        <f>IF(DraftData[[#This Row],[Pick]]&lt;=5,"Top 5",
IF(DraftData[[#This Row],[Pick]]&lt;=14,"Lottery",
IF(DraftData[[#This Row],[Pick]]&lt;=20,"Mid First","Late First")))</f>
        <v>Mid First</v>
      </c>
      <c r="W139" t="str">
        <f>IF(DraftData[[#This Row],[Win Shares]]&gt;=80,"Star",
IF(DraftData[[#This Row],[Win Shares]]&gt;=30,"Starter",
IF(DraftData[[#This Row],[Win Shares]]&gt;=10,"Rotation","Minimal")))</f>
        <v>Starter</v>
      </c>
      <c r="X139" t="str">
        <f>IF(AND(DraftData[[#This Row],[Pick]]&lt;=14,DraftData[[#This Row],[Win Shares]]&lt;10),"Yes","No")</f>
        <v>No</v>
      </c>
      <c r="Y139" s="2">
        <f>DraftData[[#This Row],[Win Shares]]/DraftData[[#This Row],[Pick]]</f>
        <v>2.338888888888889</v>
      </c>
      <c r="Z139" s="2">
        <f>DraftData[[#This Row],[Win Shares]]-_xlfn.XLOOKUP(DraftData[[#This Row],[Pick]],'Lookup Tables'!$A$2:$A$31,'Lookup Tables'!$B$2:$B$31)</f>
        <v>24.791666666666668</v>
      </c>
    </row>
    <row r="140" spans="1:26">
      <c r="A140">
        <v>2009</v>
      </c>
      <c r="B140">
        <v>19</v>
      </c>
      <c r="C140" t="s">
        <v>39</v>
      </c>
      <c r="D140" t="s">
        <v>259</v>
      </c>
      <c r="E140" t="s">
        <v>47</v>
      </c>
      <c r="F140">
        <v>826</v>
      </c>
      <c r="G140">
        <v>22164</v>
      </c>
      <c r="H140">
        <v>10061</v>
      </c>
      <c r="I140">
        <v>1989</v>
      </c>
      <c r="J140">
        <v>4585</v>
      </c>
      <c r="K140">
        <v>0.44400000000000001</v>
      </c>
      <c r="L140">
        <v>0.36</v>
      </c>
      <c r="M140">
        <v>0.84399999999999997</v>
      </c>
      <c r="N140">
        <v>52.4</v>
      </c>
      <c r="O140">
        <v>0.113</v>
      </c>
      <c r="P140">
        <v>0.6</v>
      </c>
      <c r="Q140">
        <v>14.3</v>
      </c>
      <c r="R140">
        <v>26.8</v>
      </c>
      <c r="S140">
        <v>12.2</v>
      </c>
      <c r="T140">
        <v>2.4</v>
      </c>
      <c r="U140">
        <v>5.6</v>
      </c>
      <c r="V140" t="str">
        <f>IF(DraftData[[#This Row],[Pick]]&lt;=5,"Top 5",
IF(DraftData[[#This Row],[Pick]]&lt;=14,"Lottery",
IF(DraftData[[#This Row],[Pick]]&lt;=20,"Mid First","Late First")))</f>
        <v>Mid First</v>
      </c>
      <c r="W140" t="str">
        <f>IF(DraftData[[#This Row],[Win Shares]]&gt;=80,"Star",
IF(DraftData[[#This Row],[Win Shares]]&gt;=30,"Starter",
IF(DraftData[[#This Row],[Win Shares]]&gt;=10,"Rotation","Minimal")))</f>
        <v>Starter</v>
      </c>
      <c r="X140" t="str">
        <f>IF(AND(DraftData[[#This Row],[Pick]]&lt;=14,DraftData[[#This Row],[Win Shares]]&lt;10),"Yes","No")</f>
        <v>No</v>
      </c>
      <c r="Y140" s="2">
        <f>DraftData[[#This Row],[Win Shares]]/DraftData[[#This Row],[Pick]]</f>
        <v>2.7578947368421054</v>
      </c>
      <c r="Z140" s="2">
        <f>DraftData[[#This Row],[Win Shares]]-_xlfn.XLOOKUP(DraftData[[#This Row],[Pick]],'Lookup Tables'!$A$2:$A$31,'Lookup Tables'!$B$2:$B$31)</f>
        <v>34.824999999999996</v>
      </c>
    </row>
    <row r="141" spans="1:26">
      <c r="A141">
        <v>2009</v>
      </c>
      <c r="B141">
        <v>20</v>
      </c>
      <c r="C141" t="s">
        <v>42</v>
      </c>
      <c r="D141" t="s">
        <v>260</v>
      </c>
      <c r="E141" t="s">
        <v>261</v>
      </c>
      <c r="F141">
        <v>267</v>
      </c>
      <c r="G141">
        <v>3896</v>
      </c>
      <c r="H141">
        <v>1141</v>
      </c>
      <c r="I141">
        <v>348</v>
      </c>
      <c r="J141">
        <v>760</v>
      </c>
      <c r="K141">
        <v>0.39200000000000002</v>
      </c>
      <c r="L141">
        <v>0.35</v>
      </c>
      <c r="M141">
        <v>0.72099999999999997</v>
      </c>
      <c r="N141">
        <v>3.3</v>
      </c>
      <c r="O141">
        <v>4.1000000000000002E-2</v>
      </c>
      <c r="P141">
        <v>-2.9</v>
      </c>
      <c r="Q141">
        <v>-0.8</v>
      </c>
      <c r="R141">
        <v>14.6</v>
      </c>
      <c r="S141">
        <v>4.3</v>
      </c>
      <c r="T141">
        <v>1.3</v>
      </c>
      <c r="U141">
        <v>2.8</v>
      </c>
      <c r="V141" t="str">
        <f>IF(DraftData[[#This Row],[Pick]]&lt;=5,"Top 5",
IF(DraftData[[#This Row],[Pick]]&lt;=14,"Lottery",
IF(DraftData[[#This Row],[Pick]]&lt;=20,"Mid First","Late First")))</f>
        <v>Mid First</v>
      </c>
      <c r="W141" t="str">
        <f>IF(DraftData[[#This Row],[Win Shares]]&gt;=80,"Star",
IF(DraftData[[#This Row],[Win Shares]]&gt;=30,"Starter",
IF(DraftData[[#This Row],[Win Shares]]&gt;=10,"Rotation","Minimal")))</f>
        <v>Minimal</v>
      </c>
      <c r="X141" t="str">
        <f>IF(AND(DraftData[[#This Row],[Pick]]&lt;=14,DraftData[[#This Row],[Win Shares]]&lt;10),"Yes","No")</f>
        <v>No</v>
      </c>
      <c r="Y141" s="2">
        <f>DraftData[[#This Row],[Win Shares]]/DraftData[[#This Row],[Pick]]</f>
        <v>0.16499999999999998</v>
      </c>
      <c r="Z141" s="2">
        <f>DraftData[[#This Row],[Win Shares]]-_xlfn.XLOOKUP(DraftData[[#This Row],[Pick]],'Lookup Tables'!$A$2:$A$31,'Lookup Tables'!$B$2:$B$31)</f>
        <v>-7.0916666666666677</v>
      </c>
    </row>
    <row r="142" spans="1:26">
      <c r="A142">
        <v>2009</v>
      </c>
      <c r="B142">
        <v>21</v>
      </c>
      <c r="C142" t="s">
        <v>45</v>
      </c>
      <c r="D142" t="s">
        <v>262</v>
      </c>
      <c r="E142" t="s">
        <v>152</v>
      </c>
      <c r="F142">
        <v>711</v>
      </c>
      <c r="G142">
        <v>20833</v>
      </c>
      <c r="H142">
        <v>8861</v>
      </c>
      <c r="I142">
        <v>1889</v>
      </c>
      <c r="J142">
        <v>3545</v>
      </c>
      <c r="K142">
        <v>0.47099999999999997</v>
      </c>
      <c r="L142">
        <v>0.39400000000000002</v>
      </c>
      <c r="M142">
        <v>0.85299999999999998</v>
      </c>
      <c r="N142">
        <v>49.9</v>
      </c>
      <c r="O142">
        <v>0.115</v>
      </c>
      <c r="P142">
        <v>0.5</v>
      </c>
      <c r="Q142">
        <v>13.4</v>
      </c>
      <c r="R142">
        <v>29.3</v>
      </c>
      <c r="S142">
        <v>12.5</v>
      </c>
      <c r="T142">
        <v>2.7</v>
      </c>
      <c r="U142">
        <v>5</v>
      </c>
      <c r="V142" t="str">
        <f>IF(DraftData[[#This Row],[Pick]]&lt;=5,"Top 5",
IF(DraftData[[#This Row],[Pick]]&lt;=14,"Lottery",
IF(DraftData[[#This Row],[Pick]]&lt;=20,"Mid First","Late First")))</f>
        <v>Late First</v>
      </c>
      <c r="W142" t="str">
        <f>IF(DraftData[[#This Row],[Win Shares]]&gt;=80,"Star",
IF(DraftData[[#This Row],[Win Shares]]&gt;=30,"Starter",
IF(DraftData[[#This Row],[Win Shares]]&gt;=10,"Rotation","Minimal")))</f>
        <v>Starter</v>
      </c>
      <c r="X142" t="str">
        <f>IF(AND(DraftData[[#This Row],[Pick]]&lt;=14,DraftData[[#This Row],[Win Shares]]&lt;10),"Yes","No")</f>
        <v>No</v>
      </c>
      <c r="Y142" s="2">
        <f>DraftData[[#This Row],[Win Shares]]/DraftData[[#This Row],[Pick]]</f>
        <v>2.3761904761904762</v>
      </c>
      <c r="Z142" s="2">
        <f>DraftData[[#This Row],[Win Shares]]-_xlfn.XLOOKUP(DraftData[[#This Row],[Pick]],'Lookup Tables'!$A$2:$A$31,'Lookup Tables'!$B$2:$B$31)</f>
        <v>29.399999999999995</v>
      </c>
    </row>
    <row r="143" spans="1:26">
      <c r="A143">
        <v>2009</v>
      </c>
      <c r="B143">
        <v>22</v>
      </c>
      <c r="C143" t="s">
        <v>50</v>
      </c>
      <c r="D143" t="s">
        <v>263</v>
      </c>
      <c r="F143">
        <v>80</v>
      </c>
      <c r="G143">
        <v>1072</v>
      </c>
      <c r="H143">
        <v>258</v>
      </c>
      <c r="I143">
        <v>178</v>
      </c>
      <c r="J143">
        <v>56</v>
      </c>
      <c r="K143">
        <v>0.39800000000000002</v>
      </c>
      <c r="L143">
        <v>0.29299999999999998</v>
      </c>
      <c r="M143">
        <v>0.58499999999999996</v>
      </c>
      <c r="N143">
        <v>0.2</v>
      </c>
      <c r="O143">
        <v>1.0999999999999999E-2</v>
      </c>
      <c r="P143">
        <v>-3.6</v>
      </c>
      <c r="Q143">
        <v>-0.4</v>
      </c>
      <c r="R143">
        <v>13.4</v>
      </c>
      <c r="S143">
        <v>3.2</v>
      </c>
      <c r="T143">
        <v>2.2000000000000002</v>
      </c>
      <c r="U143">
        <v>0.7</v>
      </c>
      <c r="V143" t="str">
        <f>IF(DraftData[[#This Row],[Pick]]&lt;=5,"Top 5",
IF(DraftData[[#This Row],[Pick]]&lt;=14,"Lottery",
IF(DraftData[[#This Row],[Pick]]&lt;=20,"Mid First","Late First")))</f>
        <v>Late First</v>
      </c>
      <c r="W143" t="str">
        <f>IF(DraftData[[#This Row],[Win Shares]]&gt;=80,"Star",
IF(DraftData[[#This Row],[Win Shares]]&gt;=30,"Starter",
IF(DraftData[[#This Row],[Win Shares]]&gt;=10,"Rotation","Minimal")))</f>
        <v>Minimal</v>
      </c>
      <c r="X143" t="str">
        <f>IF(AND(DraftData[[#This Row],[Pick]]&lt;=14,DraftData[[#This Row],[Win Shares]]&lt;10),"Yes","No")</f>
        <v>No</v>
      </c>
      <c r="Y143" s="2">
        <f>DraftData[[#This Row],[Win Shares]]/DraftData[[#This Row],[Pick]]</f>
        <v>9.0909090909090922E-3</v>
      </c>
      <c r="Z143" s="2">
        <f>DraftData[[#This Row],[Win Shares]]-_xlfn.XLOOKUP(DraftData[[#This Row],[Pick]],'Lookup Tables'!$A$2:$A$31,'Lookup Tables'!$B$2:$B$31)</f>
        <v>-18.283333333333339</v>
      </c>
    </row>
    <row r="144" spans="1:26">
      <c r="A144">
        <v>2009</v>
      </c>
      <c r="B144">
        <v>23</v>
      </c>
      <c r="C144" t="s">
        <v>91</v>
      </c>
      <c r="D144" t="s">
        <v>264</v>
      </c>
      <c r="F144">
        <v>588</v>
      </c>
      <c r="G144">
        <v>11959</v>
      </c>
      <c r="H144">
        <v>4642</v>
      </c>
      <c r="I144">
        <v>2355</v>
      </c>
      <c r="J144">
        <v>662</v>
      </c>
      <c r="K144">
        <v>0.45400000000000001</v>
      </c>
      <c r="L144">
        <v>0.36799999999999999</v>
      </c>
      <c r="M144">
        <v>0.67800000000000005</v>
      </c>
      <c r="N144">
        <v>19.600000000000001</v>
      </c>
      <c r="O144">
        <v>7.8E-2</v>
      </c>
      <c r="P144">
        <v>-0.8</v>
      </c>
      <c r="Q144">
        <v>3.5</v>
      </c>
      <c r="R144">
        <v>20.3</v>
      </c>
      <c r="S144">
        <v>7.9</v>
      </c>
      <c r="T144">
        <v>4</v>
      </c>
      <c r="U144">
        <v>1.1000000000000001</v>
      </c>
      <c r="V144" t="str">
        <f>IF(DraftData[[#This Row],[Pick]]&lt;=5,"Top 5",
IF(DraftData[[#This Row],[Pick]]&lt;=14,"Lottery",
IF(DraftData[[#This Row],[Pick]]&lt;=20,"Mid First","Late First")))</f>
        <v>Late First</v>
      </c>
      <c r="W144" t="str">
        <f>IF(DraftData[[#This Row],[Win Shares]]&gt;=80,"Star",
IF(DraftData[[#This Row],[Win Shares]]&gt;=30,"Starter",
IF(DraftData[[#This Row],[Win Shares]]&gt;=10,"Rotation","Minimal")))</f>
        <v>Rotation</v>
      </c>
      <c r="X144" t="str">
        <f>IF(AND(DraftData[[#This Row],[Pick]]&lt;=14,DraftData[[#This Row],[Win Shares]]&lt;10),"Yes","No")</f>
        <v>No</v>
      </c>
      <c r="Y144" s="2">
        <f>DraftData[[#This Row],[Win Shares]]/DraftData[[#This Row],[Pick]]</f>
        <v>0.85217391304347834</v>
      </c>
      <c r="Z144" s="2">
        <f>DraftData[[#This Row],[Win Shares]]-_xlfn.XLOOKUP(DraftData[[#This Row],[Pick]],'Lookup Tables'!$A$2:$A$31,'Lookup Tables'!$B$2:$B$31)</f>
        <v>2.9583333333333357</v>
      </c>
    </row>
    <row r="145" spans="1:26">
      <c r="A145">
        <v>2009</v>
      </c>
      <c r="B145">
        <v>24</v>
      </c>
      <c r="C145" t="s">
        <v>154</v>
      </c>
      <c r="D145" t="s">
        <v>265</v>
      </c>
      <c r="E145" t="s">
        <v>160</v>
      </c>
      <c r="F145">
        <v>189</v>
      </c>
      <c r="G145">
        <v>3446</v>
      </c>
      <c r="H145">
        <v>1398</v>
      </c>
      <c r="I145">
        <v>790</v>
      </c>
      <c r="J145">
        <v>153</v>
      </c>
      <c r="K145">
        <v>0.40799999999999997</v>
      </c>
      <c r="L145">
        <v>0.31900000000000001</v>
      </c>
      <c r="M145">
        <v>0.70599999999999996</v>
      </c>
      <c r="N145">
        <v>0.6</v>
      </c>
      <c r="O145">
        <v>8.0000000000000002E-3</v>
      </c>
      <c r="P145">
        <v>-4</v>
      </c>
      <c r="Q145">
        <v>-1.8</v>
      </c>
      <c r="R145">
        <v>18.2</v>
      </c>
      <c r="S145">
        <v>7.4</v>
      </c>
      <c r="T145">
        <v>4.2</v>
      </c>
      <c r="U145">
        <v>0.8</v>
      </c>
      <c r="V145" t="str">
        <f>IF(DraftData[[#This Row],[Pick]]&lt;=5,"Top 5",
IF(DraftData[[#This Row],[Pick]]&lt;=14,"Lottery",
IF(DraftData[[#This Row],[Pick]]&lt;=20,"Mid First","Late First")))</f>
        <v>Late First</v>
      </c>
      <c r="W145" t="str">
        <f>IF(DraftData[[#This Row],[Win Shares]]&gt;=80,"Star",
IF(DraftData[[#This Row],[Win Shares]]&gt;=30,"Starter",
IF(DraftData[[#This Row],[Win Shares]]&gt;=10,"Rotation","Minimal")))</f>
        <v>Minimal</v>
      </c>
      <c r="X145" t="str">
        <f>IF(AND(DraftData[[#This Row],[Pick]]&lt;=14,DraftData[[#This Row],[Win Shares]]&lt;10),"Yes","No")</f>
        <v>No</v>
      </c>
      <c r="Y145" s="2">
        <f>DraftData[[#This Row],[Win Shares]]/DraftData[[#This Row],[Pick]]</f>
        <v>2.4999999999999998E-2</v>
      </c>
      <c r="Z145" s="2">
        <f>DraftData[[#This Row],[Win Shares]]-_xlfn.XLOOKUP(DraftData[[#This Row],[Pick]],'Lookup Tables'!$A$2:$A$31,'Lookup Tables'!$B$2:$B$31)</f>
        <v>-23.9</v>
      </c>
    </row>
    <row r="146" spans="1:26">
      <c r="A146">
        <v>2009</v>
      </c>
      <c r="B146">
        <v>25</v>
      </c>
      <c r="C146" t="s">
        <v>96</v>
      </c>
      <c r="D146" t="s">
        <v>266</v>
      </c>
      <c r="F146">
        <v>182</v>
      </c>
      <c r="G146">
        <v>2896</v>
      </c>
      <c r="H146">
        <v>1286</v>
      </c>
      <c r="I146">
        <v>338</v>
      </c>
      <c r="J146">
        <v>374</v>
      </c>
      <c r="K146">
        <v>0.439</v>
      </c>
      <c r="L146">
        <v>0.32500000000000001</v>
      </c>
      <c r="M146">
        <v>0.81</v>
      </c>
      <c r="N146">
        <v>4.8</v>
      </c>
      <c r="O146">
        <v>7.9000000000000001E-2</v>
      </c>
      <c r="P146">
        <v>-0.1</v>
      </c>
      <c r="Q146">
        <v>1.4</v>
      </c>
      <c r="R146">
        <v>15.9</v>
      </c>
      <c r="S146">
        <v>7.1</v>
      </c>
      <c r="T146">
        <v>1.9</v>
      </c>
      <c r="U146">
        <v>2.1</v>
      </c>
      <c r="V146" t="str">
        <f>IF(DraftData[[#This Row],[Pick]]&lt;=5,"Top 5",
IF(DraftData[[#This Row],[Pick]]&lt;=14,"Lottery",
IF(DraftData[[#This Row],[Pick]]&lt;=20,"Mid First","Late First")))</f>
        <v>Late First</v>
      </c>
      <c r="W146" t="str">
        <f>IF(DraftData[[#This Row],[Win Shares]]&gt;=80,"Star",
IF(DraftData[[#This Row],[Win Shares]]&gt;=30,"Starter",
IF(DraftData[[#This Row],[Win Shares]]&gt;=10,"Rotation","Minimal")))</f>
        <v>Minimal</v>
      </c>
      <c r="X146" t="str">
        <f>IF(AND(DraftData[[#This Row],[Pick]]&lt;=14,DraftData[[#This Row],[Win Shares]]&lt;10),"Yes","No")</f>
        <v>No</v>
      </c>
      <c r="Y146" s="2">
        <f>DraftData[[#This Row],[Win Shares]]/DraftData[[#This Row],[Pick]]</f>
        <v>0.192</v>
      </c>
      <c r="Z146" s="2">
        <f>DraftData[[#This Row],[Win Shares]]-_xlfn.XLOOKUP(DraftData[[#This Row],[Pick]],'Lookup Tables'!$A$2:$A$31,'Lookup Tables'!$B$2:$B$31)</f>
        <v>-8.0999999999999979</v>
      </c>
    </row>
    <row r="147" spans="1:26">
      <c r="A147">
        <v>2009</v>
      </c>
      <c r="B147">
        <v>26</v>
      </c>
      <c r="C147" t="s">
        <v>111</v>
      </c>
      <c r="D147" t="s">
        <v>267</v>
      </c>
      <c r="E147" t="s">
        <v>179</v>
      </c>
      <c r="F147">
        <v>883</v>
      </c>
      <c r="G147">
        <v>21742</v>
      </c>
      <c r="H147">
        <v>8012</v>
      </c>
      <c r="I147">
        <v>5423</v>
      </c>
      <c r="J147">
        <v>873</v>
      </c>
      <c r="K147">
        <v>0.51800000000000002</v>
      </c>
      <c r="L147">
        <v>0.23899999999999999</v>
      </c>
      <c r="M147">
        <v>0.71099999999999997</v>
      </c>
      <c r="N147">
        <v>57.9</v>
      </c>
      <c r="O147">
        <v>0.128</v>
      </c>
      <c r="P147">
        <v>-0.7</v>
      </c>
      <c r="Q147">
        <v>7</v>
      </c>
      <c r="R147">
        <v>24.6</v>
      </c>
      <c r="S147">
        <v>9.1</v>
      </c>
      <c r="T147">
        <v>6.1</v>
      </c>
      <c r="U147">
        <v>1</v>
      </c>
      <c r="V147" t="str">
        <f>IF(DraftData[[#This Row],[Pick]]&lt;=5,"Top 5",
IF(DraftData[[#This Row],[Pick]]&lt;=14,"Lottery",
IF(DraftData[[#This Row],[Pick]]&lt;=20,"Mid First","Late First")))</f>
        <v>Late First</v>
      </c>
      <c r="W147" t="str">
        <f>IF(DraftData[[#This Row],[Win Shares]]&gt;=80,"Star",
IF(DraftData[[#This Row],[Win Shares]]&gt;=30,"Starter",
IF(DraftData[[#This Row],[Win Shares]]&gt;=10,"Rotation","Minimal")))</f>
        <v>Starter</v>
      </c>
      <c r="X147" t="str">
        <f>IF(AND(DraftData[[#This Row],[Pick]]&lt;=14,DraftData[[#This Row],[Win Shares]]&lt;10),"Yes","No")</f>
        <v>No</v>
      </c>
      <c r="Y147" s="2">
        <f>DraftData[[#This Row],[Win Shares]]/DraftData[[#This Row],[Pick]]</f>
        <v>2.226923076923077</v>
      </c>
      <c r="Z147" s="2">
        <f>DraftData[[#This Row],[Win Shares]]-_xlfn.XLOOKUP(DraftData[[#This Row],[Pick]],'Lookup Tables'!$A$2:$A$31,'Lookup Tables'!$B$2:$B$31)</f>
        <v>37.5</v>
      </c>
    </row>
    <row r="148" spans="1:26">
      <c r="A148">
        <v>2009</v>
      </c>
      <c r="B148">
        <v>27</v>
      </c>
      <c r="C148" t="s">
        <v>80</v>
      </c>
      <c r="D148" t="s">
        <v>268</v>
      </c>
      <c r="E148" t="s">
        <v>102</v>
      </c>
      <c r="F148">
        <v>578</v>
      </c>
      <c r="G148">
        <v>13675</v>
      </c>
      <c r="H148">
        <v>5150</v>
      </c>
      <c r="I148">
        <v>2454</v>
      </c>
      <c r="J148">
        <v>726</v>
      </c>
      <c r="K148">
        <v>0.43</v>
      </c>
      <c r="L148">
        <v>0.35799999999999998</v>
      </c>
      <c r="M148">
        <v>0.74099999999999999</v>
      </c>
      <c r="N148">
        <v>29.5</v>
      </c>
      <c r="O148">
        <v>0.104</v>
      </c>
      <c r="P148">
        <v>0</v>
      </c>
      <c r="Q148">
        <v>6.7</v>
      </c>
      <c r="R148">
        <v>23.7</v>
      </c>
      <c r="S148">
        <v>8.9</v>
      </c>
      <c r="T148">
        <v>4.2</v>
      </c>
      <c r="U148">
        <v>1.3</v>
      </c>
      <c r="V148" t="str">
        <f>IF(DraftData[[#This Row],[Pick]]&lt;=5,"Top 5",
IF(DraftData[[#This Row],[Pick]]&lt;=14,"Lottery",
IF(DraftData[[#This Row],[Pick]]&lt;=20,"Mid First","Late First")))</f>
        <v>Late First</v>
      </c>
      <c r="W148" t="str">
        <f>IF(DraftData[[#This Row],[Win Shares]]&gt;=80,"Star",
IF(DraftData[[#This Row],[Win Shares]]&gt;=30,"Starter",
IF(DraftData[[#This Row],[Win Shares]]&gt;=10,"Rotation","Minimal")))</f>
        <v>Rotation</v>
      </c>
      <c r="X148" t="str">
        <f>IF(AND(DraftData[[#This Row],[Pick]]&lt;=14,DraftData[[#This Row],[Win Shares]]&lt;10),"Yes","No")</f>
        <v>No</v>
      </c>
      <c r="Y148" s="2">
        <f>DraftData[[#This Row],[Win Shares]]/DraftData[[#This Row],[Pick]]</f>
        <v>1.0925925925925926</v>
      </c>
      <c r="Z148" s="2">
        <f>DraftData[[#This Row],[Win Shares]]-_xlfn.XLOOKUP(DraftData[[#This Row],[Pick]],'Lookup Tables'!$A$2:$A$31,'Lookup Tables'!$B$2:$B$31)</f>
        <v>8.3916666666666657</v>
      </c>
    </row>
    <row r="149" spans="1:26">
      <c r="A149">
        <v>2009</v>
      </c>
      <c r="B149">
        <v>28</v>
      </c>
      <c r="C149" t="s">
        <v>68</v>
      </c>
      <c r="D149" t="s">
        <v>269</v>
      </c>
      <c r="E149" t="s">
        <v>41</v>
      </c>
      <c r="F149">
        <v>762</v>
      </c>
      <c r="G149">
        <v>15951</v>
      </c>
      <c r="H149">
        <v>6118</v>
      </c>
      <c r="I149">
        <v>1626</v>
      </c>
      <c r="J149">
        <v>846</v>
      </c>
      <c r="K149">
        <v>0.41</v>
      </c>
      <c r="L149">
        <v>0.38200000000000001</v>
      </c>
      <c r="M149">
        <v>0.84299999999999997</v>
      </c>
      <c r="N149">
        <v>20.9</v>
      </c>
      <c r="O149">
        <v>6.3E-2</v>
      </c>
      <c r="P149">
        <v>-1.5</v>
      </c>
      <c r="Q149">
        <v>2.1</v>
      </c>
      <c r="R149">
        <v>20.9</v>
      </c>
      <c r="S149">
        <v>8</v>
      </c>
      <c r="T149">
        <v>2.1</v>
      </c>
      <c r="U149">
        <v>1.1000000000000001</v>
      </c>
      <c r="V149" t="str">
        <f>IF(DraftData[[#This Row],[Pick]]&lt;=5,"Top 5",
IF(DraftData[[#This Row],[Pick]]&lt;=14,"Lottery",
IF(DraftData[[#This Row],[Pick]]&lt;=20,"Mid First","Late First")))</f>
        <v>Late First</v>
      </c>
      <c r="W149" t="str">
        <f>IF(DraftData[[#This Row],[Win Shares]]&gt;=80,"Star",
IF(DraftData[[#This Row],[Win Shares]]&gt;=30,"Starter",
IF(DraftData[[#This Row],[Win Shares]]&gt;=10,"Rotation","Minimal")))</f>
        <v>Rotation</v>
      </c>
      <c r="X149" t="str">
        <f>IF(AND(DraftData[[#This Row],[Pick]]&lt;=14,DraftData[[#This Row],[Win Shares]]&lt;10),"Yes","No")</f>
        <v>No</v>
      </c>
      <c r="Y149" s="2">
        <f>DraftData[[#This Row],[Win Shares]]/DraftData[[#This Row],[Pick]]</f>
        <v>0.74642857142857133</v>
      </c>
      <c r="Z149" s="2">
        <f>DraftData[[#This Row],[Win Shares]]-_xlfn.XLOOKUP(DraftData[[#This Row],[Pick]],'Lookup Tables'!$A$2:$A$31,'Lookup Tables'!$B$2:$B$31)</f>
        <v>12.254545454545452</v>
      </c>
    </row>
    <row r="150" spans="1:26">
      <c r="A150">
        <v>2009</v>
      </c>
      <c r="B150">
        <v>29</v>
      </c>
      <c r="C150" t="s">
        <v>61</v>
      </c>
      <c r="D150" t="s">
        <v>270</v>
      </c>
      <c r="E150" t="s">
        <v>175</v>
      </c>
      <c r="F150">
        <v>394</v>
      </c>
      <c r="G150">
        <v>7511</v>
      </c>
      <c r="H150">
        <v>3009</v>
      </c>
      <c r="I150">
        <v>875</v>
      </c>
      <c r="J150">
        <v>889</v>
      </c>
      <c r="K150">
        <v>0.40400000000000003</v>
      </c>
      <c r="L150">
        <v>0.35399999999999998</v>
      </c>
      <c r="M150">
        <v>0.82399999999999995</v>
      </c>
      <c r="N150">
        <v>12.1</v>
      </c>
      <c r="O150">
        <v>7.6999999999999999E-2</v>
      </c>
      <c r="P150">
        <v>-0.8</v>
      </c>
      <c r="Q150">
        <v>2.2000000000000002</v>
      </c>
      <c r="R150">
        <v>19.100000000000001</v>
      </c>
      <c r="S150">
        <v>7.6</v>
      </c>
      <c r="T150">
        <v>2.2000000000000002</v>
      </c>
      <c r="U150">
        <v>2.2999999999999998</v>
      </c>
      <c r="V150" t="str">
        <f>IF(DraftData[[#This Row],[Pick]]&lt;=5,"Top 5",
IF(DraftData[[#This Row],[Pick]]&lt;=14,"Lottery",
IF(DraftData[[#This Row],[Pick]]&lt;=20,"Mid First","Late First")))</f>
        <v>Late First</v>
      </c>
      <c r="W150" t="str">
        <f>IF(DraftData[[#This Row],[Win Shares]]&gt;=80,"Star",
IF(DraftData[[#This Row],[Win Shares]]&gt;=30,"Starter",
IF(DraftData[[#This Row],[Win Shares]]&gt;=10,"Rotation","Minimal")))</f>
        <v>Rotation</v>
      </c>
      <c r="X150" t="str">
        <f>IF(AND(DraftData[[#This Row],[Pick]]&lt;=14,DraftData[[#This Row],[Win Shares]]&lt;10),"Yes","No")</f>
        <v>No</v>
      </c>
      <c r="Y150" s="2">
        <f>DraftData[[#This Row],[Win Shares]]/DraftData[[#This Row],[Pick]]</f>
        <v>0.41724137931034483</v>
      </c>
      <c r="Z150" s="2">
        <f>DraftData[[#This Row],[Win Shares]]-_xlfn.XLOOKUP(DraftData[[#This Row],[Pick]],'Lookup Tables'!$A$2:$A$31,'Lookup Tables'!$B$2:$B$31)</f>
        <v>7.0333333333333323</v>
      </c>
    </row>
    <row r="151" spans="1:26">
      <c r="A151">
        <v>2009</v>
      </c>
      <c r="B151">
        <v>30</v>
      </c>
      <c r="C151" t="s">
        <v>148</v>
      </c>
      <c r="D151" t="s">
        <v>271</v>
      </c>
      <c r="F151">
        <v>51</v>
      </c>
      <c r="G151">
        <v>1049</v>
      </c>
      <c r="H151">
        <v>320</v>
      </c>
      <c r="I151">
        <v>137</v>
      </c>
      <c r="J151">
        <v>40</v>
      </c>
      <c r="K151">
        <v>0.41099999999999998</v>
      </c>
      <c r="L151">
        <v>0.27700000000000002</v>
      </c>
      <c r="M151">
        <v>0.61099999999999999</v>
      </c>
      <c r="N151">
        <v>-0.4</v>
      </c>
      <c r="O151">
        <v>-0.02</v>
      </c>
      <c r="P151">
        <v>-4.2</v>
      </c>
      <c r="Q151">
        <v>-0.6</v>
      </c>
      <c r="R151">
        <v>20.6</v>
      </c>
      <c r="S151">
        <v>6.3</v>
      </c>
      <c r="T151">
        <v>2.7</v>
      </c>
      <c r="U151">
        <v>0.8</v>
      </c>
      <c r="V151" t="str">
        <f>IF(DraftData[[#This Row],[Pick]]&lt;=5,"Top 5",
IF(DraftData[[#This Row],[Pick]]&lt;=14,"Lottery",
IF(DraftData[[#This Row],[Pick]]&lt;=20,"Mid First","Late First")))</f>
        <v>Late First</v>
      </c>
      <c r="W151" t="str">
        <f>IF(DraftData[[#This Row],[Win Shares]]&gt;=80,"Star",
IF(DraftData[[#This Row],[Win Shares]]&gt;=30,"Starter",
IF(DraftData[[#This Row],[Win Shares]]&gt;=10,"Rotation","Minimal")))</f>
        <v>Minimal</v>
      </c>
      <c r="X151" t="str">
        <f>IF(AND(DraftData[[#This Row],[Pick]]&lt;=14,DraftData[[#This Row],[Win Shares]]&lt;10),"Yes","No")</f>
        <v>No</v>
      </c>
      <c r="Y151" s="2">
        <f>DraftData[[#This Row],[Win Shares]]/DraftData[[#This Row],[Pick]]</f>
        <v>-1.3333333333333334E-2</v>
      </c>
      <c r="Z151" s="2">
        <f>DraftData[[#This Row],[Win Shares]]-_xlfn.XLOOKUP(DraftData[[#This Row],[Pick]],'Lookup Tables'!$A$2:$A$31,'Lookup Tables'!$B$2:$B$31)</f>
        <v>-21.118181818181814</v>
      </c>
    </row>
    <row r="152" spans="1:26">
      <c r="A152">
        <v>2010</v>
      </c>
      <c r="B152">
        <v>1</v>
      </c>
      <c r="C152" t="s">
        <v>137</v>
      </c>
      <c r="D152" t="s">
        <v>272</v>
      </c>
      <c r="E152" t="s">
        <v>144</v>
      </c>
      <c r="F152">
        <v>613</v>
      </c>
      <c r="G152">
        <v>21833</v>
      </c>
      <c r="H152">
        <v>11702</v>
      </c>
      <c r="I152">
        <v>2612</v>
      </c>
      <c r="J152">
        <v>5557</v>
      </c>
      <c r="K152">
        <v>0.43099999999999999</v>
      </c>
      <c r="L152">
        <v>0.32300000000000001</v>
      </c>
      <c r="M152">
        <v>0.77900000000000003</v>
      </c>
      <c r="N152">
        <v>44.1</v>
      </c>
      <c r="O152">
        <v>9.7000000000000003E-2</v>
      </c>
      <c r="P152">
        <v>2.4</v>
      </c>
      <c r="Q152">
        <v>24</v>
      </c>
      <c r="R152">
        <v>35.6</v>
      </c>
      <c r="S152">
        <v>19.100000000000001</v>
      </c>
      <c r="T152">
        <v>4.3</v>
      </c>
      <c r="U152">
        <v>9.1</v>
      </c>
      <c r="V152" t="str">
        <f>IF(DraftData[[#This Row],[Pick]]&lt;=5,"Top 5",
IF(DraftData[[#This Row],[Pick]]&lt;=14,"Lottery",
IF(DraftData[[#This Row],[Pick]]&lt;=20,"Mid First","Late First")))</f>
        <v>Top 5</v>
      </c>
      <c r="W152" t="str">
        <f>IF(DraftData[[#This Row],[Win Shares]]&gt;=80,"Star",
IF(DraftData[[#This Row],[Win Shares]]&gt;=30,"Starter",
IF(DraftData[[#This Row],[Win Shares]]&gt;=10,"Rotation","Minimal")))</f>
        <v>Starter</v>
      </c>
      <c r="X152" t="str">
        <f>IF(AND(DraftData[[#This Row],[Pick]]&lt;=14,DraftData[[#This Row],[Win Shares]]&lt;10),"Yes","No")</f>
        <v>No</v>
      </c>
      <c r="Y152" s="2">
        <f>DraftData[[#This Row],[Win Shares]]/DraftData[[#This Row],[Pick]]</f>
        <v>44.1</v>
      </c>
      <c r="Z152" s="2">
        <f>DraftData[[#This Row],[Win Shares]]-_xlfn.XLOOKUP(DraftData[[#This Row],[Pick]],'Lookup Tables'!$A$2:$A$31,'Lookup Tables'!$B$2:$B$31)</f>
        <v>0.51666666666666572</v>
      </c>
    </row>
    <row r="153" spans="1:26">
      <c r="A153">
        <v>2010</v>
      </c>
      <c r="B153">
        <v>2</v>
      </c>
      <c r="C153" t="s">
        <v>129</v>
      </c>
      <c r="D153" t="s">
        <v>273</v>
      </c>
      <c r="E153" t="s">
        <v>160</v>
      </c>
      <c r="F153">
        <v>705</v>
      </c>
      <c r="G153">
        <v>18938</v>
      </c>
      <c r="H153">
        <v>6824</v>
      </c>
      <c r="I153">
        <v>3278</v>
      </c>
      <c r="J153">
        <v>2462</v>
      </c>
      <c r="K153">
        <v>0.434</v>
      </c>
      <c r="L153">
        <v>0.29399999999999998</v>
      </c>
      <c r="M153">
        <v>0.78200000000000003</v>
      </c>
      <c r="N153">
        <v>20.2</v>
      </c>
      <c r="O153">
        <v>5.0999999999999997E-2</v>
      </c>
      <c r="P153">
        <v>-1.9</v>
      </c>
      <c r="Q153">
        <v>0.5</v>
      </c>
      <c r="R153">
        <v>26.9</v>
      </c>
      <c r="S153">
        <v>9.6999999999999993</v>
      </c>
      <c r="T153">
        <v>4.5999999999999996</v>
      </c>
      <c r="U153">
        <v>3.5</v>
      </c>
      <c r="V153" t="str">
        <f>IF(DraftData[[#This Row],[Pick]]&lt;=5,"Top 5",
IF(DraftData[[#This Row],[Pick]]&lt;=14,"Lottery",
IF(DraftData[[#This Row],[Pick]]&lt;=20,"Mid First","Late First")))</f>
        <v>Top 5</v>
      </c>
      <c r="W153" t="str">
        <f>IF(DraftData[[#This Row],[Win Shares]]&gt;=80,"Star",
IF(DraftData[[#This Row],[Win Shares]]&gt;=30,"Starter",
IF(DraftData[[#This Row],[Win Shares]]&gt;=10,"Rotation","Minimal")))</f>
        <v>Rotation</v>
      </c>
      <c r="X153" t="str">
        <f>IF(AND(DraftData[[#This Row],[Pick]]&lt;=14,DraftData[[#This Row],[Win Shares]]&lt;10),"Yes","No")</f>
        <v>No</v>
      </c>
      <c r="Y153" s="2">
        <f>DraftData[[#This Row],[Win Shares]]/DraftData[[#This Row],[Pick]]</f>
        <v>10.1</v>
      </c>
      <c r="Z153" s="2">
        <f>DraftData[[#This Row],[Win Shares]]-_xlfn.XLOOKUP(DraftData[[#This Row],[Pick]],'Lookup Tables'!$A$2:$A$31,'Lookup Tables'!$B$2:$B$31)</f>
        <v>-19.591666666666665</v>
      </c>
    </row>
    <row r="154" spans="1:26">
      <c r="A154">
        <v>2010</v>
      </c>
      <c r="B154">
        <v>3</v>
      </c>
      <c r="C154" t="s">
        <v>70</v>
      </c>
      <c r="D154" t="s">
        <v>274</v>
      </c>
      <c r="E154" t="s">
        <v>90</v>
      </c>
      <c r="F154">
        <v>789</v>
      </c>
      <c r="G154">
        <v>19184</v>
      </c>
      <c r="H154">
        <v>8348</v>
      </c>
      <c r="I154">
        <v>5605</v>
      </c>
      <c r="J154">
        <v>850</v>
      </c>
      <c r="K154">
        <v>0.53400000000000003</v>
      </c>
      <c r="L154">
        <v>0.19800000000000001</v>
      </c>
      <c r="M154">
        <v>0.66300000000000003</v>
      </c>
      <c r="N154">
        <v>60.3</v>
      </c>
      <c r="O154">
        <v>0.151</v>
      </c>
      <c r="P154">
        <v>0.9</v>
      </c>
      <c r="Q154">
        <v>13.9</v>
      </c>
      <c r="R154">
        <v>24.3</v>
      </c>
      <c r="S154">
        <v>10.6</v>
      </c>
      <c r="T154">
        <v>7.1</v>
      </c>
      <c r="U154">
        <v>1.1000000000000001</v>
      </c>
      <c r="V154" t="str">
        <f>IF(DraftData[[#This Row],[Pick]]&lt;=5,"Top 5",
IF(DraftData[[#This Row],[Pick]]&lt;=14,"Lottery",
IF(DraftData[[#This Row],[Pick]]&lt;=20,"Mid First","Late First")))</f>
        <v>Top 5</v>
      </c>
      <c r="W154" t="str">
        <f>IF(DraftData[[#This Row],[Win Shares]]&gt;=80,"Star",
IF(DraftData[[#This Row],[Win Shares]]&gt;=30,"Starter",
IF(DraftData[[#This Row],[Win Shares]]&gt;=10,"Rotation","Minimal")))</f>
        <v>Starter</v>
      </c>
      <c r="X154" t="str">
        <f>IF(AND(DraftData[[#This Row],[Pick]]&lt;=14,DraftData[[#This Row],[Win Shares]]&lt;10),"Yes","No")</f>
        <v>No</v>
      </c>
      <c r="Y154" s="2">
        <f>DraftData[[#This Row],[Win Shares]]/DraftData[[#This Row],[Pick]]</f>
        <v>20.099999999999998</v>
      </c>
      <c r="Z154" s="2">
        <f>DraftData[[#This Row],[Win Shares]]-_xlfn.XLOOKUP(DraftData[[#This Row],[Pick]],'Lookup Tables'!$A$2:$A$31,'Lookup Tables'!$B$2:$B$31)</f>
        <v>9.5333333333333243</v>
      </c>
    </row>
    <row r="155" spans="1:26">
      <c r="A155">
        <v>2010</v>
      </c>
      <c r="B155">
        <v>4</v>
      </c>
      <c r="C155" t="s">
        <v>68</v>
      </c>
      <c r="D155" t="s">
        <v>275</v>
      </c>
      <c r="E155" t="s">
        <v>82</v>
      </c>
      <c r="F155">
        <v>609</v>
      </c>
      <c r="G155">
        <v>13472</v>
      </c>
      <c r="H155">
        <v>4235</v>
      </c>
      <c r="I155">
        <v>1924</v>
      </c>
      <c r="J155">
        <v>645</v>
      </c>
      <c r="K155">
        <v>0.40400000000000003</v>
      </c>
      <c r="L155">
        <v>0.33700000000000002</v>
      </c>
      <c r="M155">
        <v>0.74099999999999999</v>
      </c>
      <c r="N155">
        <v>10.7</v>
      </c>
      <c r="O155">
        <v>3.7999999999999999E-2</v>
      </c>
      <c r="P155">
        <v>-1.6</v>
      </c>
      <c r="Q155">
        <v>1.2</v>
      </c>
      <c r="R155">
        <v>22.1</v>
      </c>
      <c r="S155">
        <v>7</v>
      </c>
      <c r="T155">
        <v>3.2</v>
      </c>
      <c r="U155">
        <v>1.1000000000000001</v>
      </c>
      <c r="V155" t="str">
        <f>IF(DraftData[[#This Row],[Pick]]&lt;=5,"Top 5",
IF(DraftData[[#This Row],[Pick]]&lt;=14,"Lottery",
IF(DraftData[[#This Row],[Pick]]&lt;=20,"Mid First","Late First")))</f>
        <v>Top 5</v>
      </c>
      <c r="W155" t="str">
        <f>IF(DraftData[[#This Row],[Win Shares]]&gt;=80,"Star",
IF(DraftData[[#This Row],[Win Shares]]&gt;=30,"Starter",
IF(DraftData[[#This Row],[Win Shares]]&gt;=10,"Rotation","Minimal")))</f>
        <v>Rotation</v>
      </c>
      <c r="X155" t="str">
        <f>IF(AND(DraftData[[#This Row],[Pick]]&lt;=14,DraftData[[#This Row],[Win Shares]]&lt;10),"Yes","No")</f>
        <v>No</v>
      </c>
      <c r="Y155" s="2">
        <f>DraftData[[#This Row],[Win Shares]]/DraftData[[#This Row],[Pick]]</f>
        <v>2.6749999999999998</v>
      </c>
      <c r="Z155" s="2">
        <f>DraftData[[#This Row],[Win Shares]]-_xlfn.XLOOKUP(DraftData[[#This Row],[Pick]],'Lookup Tables'!$A$2:$A$31,'Lookup Tables'!$B$2:$B$31)</f>
        <v>-37.858333333333334</v>
      </c>
    </row>
    <row r="156" spans="1:26">
      <c r="A156">
        <v>2010</v>
      </c>
      <c r="B156">
        <v>5</v>
      </c>
      <c r="C156" t="s">
        <v>91</v>
      </c>
      <c r="D156" t="s">
        <v>276</v>
      </c>
      <c r="E156" t="s">
        <v>144</v>
      </c>
      <c r="F156">
        <v>631</v>
      </c>
      <c r="G156">
        <v>19183</v>
      </c>
      <c r="H156">
        <v>12575</v>
      </c>
      <c r="I156">
        <v>6542</v>
      </c>
      <c r="J156">
        <v>1935</v>
      </c>
      <c r="K156">
        <v>0.45900000000000002</v>
      </c>
      <c r="L156">
        <v>0.33</v>
      </c>
      <c r="M156">
        <v>0.73699999999999999</v>
      </c>
      <c r="N156">
        <v>46</v>
      </c>
      <c r="O156">
        <v>0.115</v>
      </c>
      <c r="P156">
        <v>2.5</v>
      </c>
      <c r="Q156">
        <v>21.5</v>
      </c>
      <c r="R156">
        <v>30.4</v>
      </c>
      <c r="S156">
        <v>19.899999999999999</v>
      </c>
      <c r="T156">
        <v>10.4</v>
      </c>
      <c r="U156">
        <v>3.1</v>
      </c>
      <c r="V156" t="str">
        <f>IF(DraftData[[#This Row],[Pick]]&lt;=5,"Top 5",
IF(DraftData[[#This Row],[Pick]]&lt;=14,"Lottery",
IF(DraftData[[#This Row],[Pick]]&lt;=20,"Mid First","Late First")))</f>
        <v>Top 5</v>
      </c>
      <c r="W156" t="str">
        <f>IF(DraftData[[#This Row],[Win Shares]]&gt;=80,"Star",
IF(DraftData[[#This Row],[Win Shares]]&gt;=30,"Starter",
IF(DraftData[[#This Row],[Win Shares]]&gt;=10,"Rotation","Minimal")))</f>
        <v>Starter</v>
      </c>
      <c r="X156" t="str">
        <f>IF(AND(DraftData[[#This Row],[Pick]]&lt;=14,DraftData[[#This Row],[Win Shares]]&lt;10),"Yes","No")</f>
        <v>No</v>
      </c>
      <c r="Y156" s="2">
        <f>DraftData[[#This Row],[Win Shares]]/DraftData[[#This Row],[Pick]]</f>
        <v>9.1999999999999993</v>
      </c>
      <c r="Z156" s="2">
        <f>DraftData[[#This Row],[Win Shares]]-_xlfn.XLOOKUP(DraftData[[#This Row],[Pick]],'Lookup Tables'!$A$2:$A$31,'Lookup Tables'!$B$2:$B$31)</f>
        <v>14.641666666666662</v>
      </c>
    </row>
    <row r="157" spans="1:26">
      <c r="A157">
        <v>2010</v>
      </c>
      <c r="B157">
        <v>6</v>
      </c>
      <c r="C157" t="s">
        <v>58</v>
      </c>
      <c r="D157" t="s">
        <v>277</v>
      </c>
      <c r="E157" t="s">
        <v>278</v>
      </c>
      <c r="F157">
        <v>384</v>
      </c>
      <c r="G157">
        <v>5694</v>
      </c>
      <c r="H157">
        <v>1353</v>
      </c>
      <c r="I157">
        <v>1100</v>
      </c>
      <c r="J157">
        <v>260</v>
      </c>
      <c r="K157">
        <v>0.45300000000000001</v>
      </c>
      <c r="L157">
        <v>0</v>
      </c>
      <c r="M157">
        <v>0.71799999999999997</v>
      </c>
      <c r="N157">
        <v>10.4</v>
      </c>
      <c r="O157">
        <v>8.7999999999999995E-2</v>
      </c>
      <c r="P157">
        <v>-1.4</v>
      </c>
      <c r="Q157">
        <v>0.8</v>
      </c>
      <c r="R157">
        <v>14.8</v>
      </c>
      <c r="S157">
        <v>3.5</v>
      </c>
      <c r="T157">
        <v>2.9</v>
      </c>
      <c r="U157">
        <v>0.7</v>
      </c>
      <c r="V157" t="str">
        <f>IF(DraftData[[#This Row],[Pick]]&lt;=5,"Top 5",
IF(DraftData[[#This Row],[Pick]]&lt;=14,"Lottery",
IF(DraftData[[#This Row],[Pick]]&lt;=20,"Mid First","Late First")))</f>
        <v>Lottery</v>
      </c>
      <c r="W157" t="str">
        <f>IF(DraftData[[#This Row],[Win Shares]]&gt;=80,"Star",
IF(DraftData[[#This Row],[Win Shares]]&gt;=30,"Starter",
IF(DraftData[[#This Row],[Win Shares]]&gt;=10,"Rotation","Minimal")))</f>
        <v>Rotation</v>
      </c>
      <c r="X157" t="str">
        <f>IF(AND(DraftData[[#This Row],[Pick]]&lt;=14,DraftData[[#This Row],[Win Shares]]&lt;10),"Yes","No")</f>
        <v>No</v>
      </c>
      <c r="Y157" s="2">
        <f>DraftData[[#This Row],[Win Shares]]/DraftData[[#This Row],[Pick]]</f>
        <v>1.7333333333333334</v>
      </c>
      <c r="Z157" s="2">
        <f>DraftData[[#This Row],[Win Shares]]-_xlfn.XLOOKUP(DraftData[[#This Row],[Pick]],'Lookup Tables'!$A$2:$A$31,'Lookup Tables'!$B$2:$B$31)</f>
        <v>-17.258333333333333</v>
      </c>
    </row>
    <row r="158" spans="1:26">
      <c r="A158">
        <v>2010</v>
      </c>
      <c r="B158">
        <v>7</v>
      </c>
      <c r="C158" t="s">
        <v>98</v>
      </c>
      <c r="D158" t="s">
        <v>279</v>
      </c>
      <c r="E158" t="s">
        <v>165</v>
      </c>
      <c r="F158">
        <v>642</v>
      </c>
      <c r="G158">
        <v>17626</v>
      </c>
      <c r="H158">
        <v>8381</v>
      </c>
      <c r="I158">
        <v>5281</v>
      </c>
      <c r="J158">
        <v>1368</v>
      </c>
      <c r="K158">
        <v>0.51400000000000001</v>
      </c>
      <c r="L158">
        <v>5.8999999999999997E-2</v>
      </c>
      <c r="M158">
        <v>0.70299999999999996</v>
      </c>
      <c r="N158">
        <v>50.1</v>
      </c>
      <c r="O158">
        <v>0.13700000000000001</v>
      </c>
      <c r="P158">
        <v>1.4</v>
      </c>
      <c r="Q158">
        <v>15.2</v>
      </c>
      <c r="R158">
        <v>27.5</v>
      </c>
      <c r="S158">
        <v>13.1</v>
      </c>
      <c r="T158">
        <v>8.1999999999999993</v>
      </c>
      <c r="U158">
        <v>2.1</v>
      </c>
      <c r="V158" t="str">
        <f>IF(DraftData[[#This Row],[Pick]]&lt;=5,"Top 5",
IF(DraftData[[#This Row],[Pick]]&lt;=14,"Lottery",
IF(DraftData[[#This Row],[Pick]]&lt;=20,"Mid First","Late First")))</f>
        <v>Lottery</v>
      </c>
      <c r="W158" t="str">
        <f>IF(DraftData[[#This Row],[Win Shares]]&gt;=80,"Star",
IF(DraftData[[#This Row],[Win Shares]]&gt;=30,"Starter",
IF(DraftData[[#This Row],[Win Shares]]&gt;=10,"Rotation","Minimal")))</f>
        <v>Starter</v>
      </c>
      <c r="X158" t="str">
        <f>IF(AND(DraftData[[#This Row],[Pick]]&lt;=14,DraftData[[#This Row],[Win Shares]]&lt;10),"Yes","No")</f>
        <v>No</v>
      </c>
      <c r="Y158" s="2">
        <f>DraftData[[#This Row],[Win Shares]]/DraftData[[#This Row],[Pick]]</f>
        <v>7.1571428571428575</v>
      </c>
      <c r="Z158" s="2">
        <f>DraftData[[#This Row],[Win Shares]]-_xlfn.XLOOKUP(DraftData[[#This Row],[Pick]],'Lookup Tables'!$A$2:$A$31,'Lookup Tables'!$B$2:$B$31)</f>
        <v>16.124999999999993</v>
      </c>
    </row>
    <row r="159" spans="1:26">
      <c r="A159">
        <v>2010</v>
      </c>
      <c r="B159">
        <v>8</v>
      </c>
      <c r="C159" t="s">
        <v>65</v>
      </c>
      <c r="D159" t="s">
        <v>280</v>
      </c>
      <c r="E159" t="s">
        <v>47</v>
      </c>
      <c r="F159">
        <v>711</v>
      </c>
      <c r="G159">
        <v>17698</v>
      </c>
      <c r="H159">
        <v>5350</v>
      </c>
      <c r="I159">
        <v>4280</v>
      </c>
      <c r="J159">
        <v>879</v>
      </c>
      <c r="K159">
        <v>0.42</v>
      </c>
      <c r="L159">
        <v>0.33200000000000002</v>
      </c>
      <c r="M159">
        <v>0.746</v>
      </c>
      <c r="N159">
        <v>27.6</v>
      </c>
      <c r="O159">
        <v>7.4999999999999997E-2</v>
      </c>
      <c r="P159">
        <v>-0.6</v>
      </c>
      <c r="Q159">
        <v>6.5</v>
      </c>
      <c r="R159">
        <v>24.9</v>
      </c>
      <c r="S159">
        <v>7.5</v>
      </c>
      <c r="T159">
        <v>6</v>
      </c>
      <c r="U159">
        <v>1.2</v>
      </c>
      <c r="V159" t="str">
        <f>IF(DraftData[[#This Row],[Pick]]&lt;=5,"Top 5",
IF(DraftData[[#This Row],[Pick]]&lt;=14,"Lottery",
IF(DraftData[[#This Row],[Pick]]&lt;=20,"Mid First","Late First")))</f>
        <v>Lottery</v>
      </c>
      <c r="W159" t="str">
        <f>IF(DraftData[[#This Row],[Win Shares]]&gt;=80,"Star",
IF(DraftData[[#This Row],[Win Shares]]&gt;=30,"Starter",
IF(DraftData[[#This Row],[Win Shares]]&gt;=10,"Rotation","Minimal")))</f>
        <v>Rotation</v>
      </c>
      <c r="X159" t="str">
        <f>IF(AND(DraftData[[#This Row],[Pick]]&lt;=14,DraftData[[#This Row],[Win Shares]]&lt;10),"Yes","No")</f>
        <v>No</v>
      </c>
      <c r="Y159" s="2">
        <f>DraftData[[#This Row],[Win Shares]]/DraftData[[#This Row],[Pick]]</f>
        <v>3.45</v>
      </c>
      <c r="Z159" s="2">
        <f>DraftData[[#This Row],[Win Shares]]-_xlfn.XLOOKUP(DraftData[[#This Row],[Pick]],'Lookup Tables'!$A$2:$A$31,'Lookup Tables'!$B$2:$B$31)</f>
        <v>6.44166666666667</v>
      </c>
    </row>
    <row r="160" spans="1:26">
      <c r="A160">
        <v>2010</v>
      </c>
      <c r="B160">
        <v>9</v>
      </c>
      <c r="C160" t="s">
        <v>42</v>
      </c>
      <c r="D160" t="s">
        <v>281</v>
      </c>
      <c r="E160" t="s">
        <v>282</v>
      </c>
      <c r="F160">
        <v>733</v>
      </c>
      <c r="G160">
        <v>22815</v>
      </c>
      <c r="H160">
        <v>11449</v>
      </c>
      <c r="I160">
        <v>3299</v>
      </c>
      <c r="J160">
        <v>2572</v>
      </c>
      <c r="K160">
        <v>0.45300000000000001</v>
      </c>
      <c r="L160">
        <v>0.371</v>
      </c>
      <c r="M160">
        <v>0.82599999999999996</v>
      </c>
      <c r="N160">
        <v>60.2</v>
      </c>
      <c r="O160">
        <v>0.127</v>
      </c>
      <c r="P160">
        <v>2</v>
      </c>
      <c r="Q160">
        <v>22.8</v>
      </c>
      <c r="R160">
        <v>31.1</v>
      </c>
      <c r="S160">
        <v>15.6</v>
      </c>
      <c r="T160">
        <v>4.5</v>
      </c>
      <c r="U160">
        <v>3.5</v>
      </c>
      <c r="V160" t="str">
        <f>IF(DraftData[[#This Row],[Pick]]&lt;=5,"Top 5",
IF(DraftData[[#This Row],[Pick]]&lt;=14,"Lottery",
IF(DraftData[[#This Row],[Pick]]&lt;=20,"Mid First","Late First")))</f>
        <v>Lottery</v>
      </c>
      <c r="W160" t="str">
        <f>IF(DraftData[[#This Row],[Win Shares]]&gt;=80,"Star",
IF(DraftData[[#This Row],[Win Shares]]&gt;=30,"Starter",
IF(DraftData[[#This Row],[Win Shares]]&gt;=10,"Rotation","Minimal")))</f>
        <v>Starter</v>
      </c>
      <c r="X160" t="str">
        <f>IF(AND(DraftData[[#This Row],[Pick]]&lt;=14,DraftData[[#This Row],[Win Shares]]&lt;10),"Yes","No")</f>
        <v>No</v>
      </c>
      <c r="Y160" s="2">
        <f>DraftData[[#This Row],[Win Shares]]/DraftData[[#This Row],[Pick]]</f>
        <v>6.6888888888888891</v>
      </c>
      <c r="Z160" s="2">
        <f>DraftData[[#This Row],[Win Shares]]-_xlfn.XLOOKUP(DraftData[[#This Row],[Pick]],'Lookup Tables'!$A$2:$A$31,'Lookup Tables'!$B$2:$B$31)</f>
        <v>22.808333333333337</v>
      </c>
    </row>
    <row r="161" spans="1:26">
      <c r="A161">
        <v>2010</v>
      </c>
      <c r="B161">
        <v>10</v>
      </c>
      <c r="C161" t="s">
        <v>75</v>
      </c>
      <c r="D161" t="s">
        <v>283</v>
      </c>
      <c r="E161" t="s">
        <v>284</v>
      </c>
      <c r="F161">
        <v>732</v>
      </c>
      <c r="G161">
        <v>24588</v>
      </c>
      <c r="H161">
        <v>14916</v>
      </c>
      <c r="I161">
        <v>4707</v>
      </c>
      <c r="J161">
        <v>2607</v>
      </c>
      <c r="K161">
        <v>0.436</v>
      </c>
      <c r="L161">
        <v>0.38100000000000001</v>
      </c>
      <c r="M161">
        <v>0.84899999999999998</v>
      </c>
      <c r="N161">
        <v>76.099999999999994</v>
      </c>
      <c r="O161">
        <v>0.14899999999999999</v>
      </c>
      <c r="P161">
        <v>4.0999999999999996</v>
      </c>
      <c r="Q161">
        <v>37.6</v>
      </c>
      <c r="R161">
        <v>33.6</v>
      </c>
      <c r="S161">
        <v>20.399999999999999</v>
      </c>
      <c r="T161">
        <v>6.4</v>
      </c>
      <c r="U161">
        <v>3.6</v>
      </c>
      <c r="V161" t="str">
        <f>IF(DraftData[[#This Row],[Pick]]&lt;=5,"Top 5",
IF(DraftData[[#This Row],[Pick]]&lt;=14,"Lottery",
IF(DraftData[[#This Row],[Pick]]&lt;=20,"Mid First","Late First")))</f>
        <v>Lottery</v>
      </c>
      <c r="W161" t="str">
        <f>IF(DraftData[[#This Row],[Win Shares]]&gt;=80,"Star",
IF(DraftData[[#This Row],[Win Shares]]&gt;=30,"Starter",
IF(DraftData[[#This Row],[Win Shares]]&gt;=10,"Rotation","Minimal")))</f>
        <v>Starter</v>
      </c>
      <c r="X161" t="str">
        <f>IF(AND(DraftData[[#This Row],[Pick]]&lt;=14,DraftData[[#This Row],[Win Shares]]&lt;10),"Yes","No")</f>
        <v>No</v>
      </c>
      <c r="Y161" s="2">
        <f>DraftData[[#This Row],[Win Shares]]/DraftData[[#This Row],[Pick]]</f>
        <v>7.6099999999999994</v>
      </c>
      <c r="Z161" s="2">
        <f>DraftData[[#This Row],[Win Shares]]-_xlfn.XLOOKUP(DraftData[[#This Row],[Pick]],'Lookup Tables'!$A$2:$A$31,'Lookup Tables'!$B$2:$B$31)</f>
        <v>49.25</v>
      </c>
    </row>
    <row r="162" spans="1:26">
      <c r="A162">
        <v>2010</v>
      </c>
      <c r="B162">
        <v>11</v>
      </c>
      <c r="C162" t="s">
        <v>45</v>
      </c>
      <c r="D162" t="s">
        <v>285</v>
      </c>
      <c r="E162" t="s">
        <v>107</v>
      </c>
      <c r="F162">
        <v>339</v>
      </c>
      <c r="G162">
        <v>3389</v>
      </c>
      <c r="H162">
        <v>1050</v>
      </c>
      <c r="I162">
        <v>1131</v>
      </c>
      <c r="J162">
        <v>183</v>
      </c>
      <c r="K162">
        <v>0.52700000000000002</v>
      </c>
      <c r="M162">
        <v>0.73799999999999999</v>
      </c>
      <c r="N162">
        <v>9.6</v>
      </c>
      <c r="O162">
        <v>0.13500000000000001</v>
      </c>
      <c r="P162">
        <v>0.1</v>
      </c>
      <c r="Q162">
        <v>1.8</v>
      </c>
      <c r="R162">
        <v>10</v>
      </c>
      <c r="S162">
        <v>3.1</v>
      </c>
      <c r="T162">
        <v>3.3</v>
      </c>
      <c r="U162">
        <v>0.5</v>
      </c>
      <c r="V162" t="str">
        <f>IF(DraftData[[#This Row],[Pick]]&lt;=5,"Top 5",
IF(DraftData[[#This Row],[Pick]]&lt;=14,"Lottery",
IF(DraftData[[#This Row],[Pick]]&lt;=20,"Mid First","Late First")))</f>
        <v>Lottery</v>
      </c>
      <c r="W162" t="str">
        <f>IF(DraftData[[#This Row],[Win Shares]]&gt;=80,"Star",
IF(DraftData[[#This Row],[Win Shares]]&gt;=30,"Starter",
IF(DraftData[[#This Row],[Win Shares]]&gt;=10,"Rotation","Minimal")))</f>
        <v>Minimal</v>
      </c>
      <c r="X162" t="str">
        <f>IF(AND(DraftData[[#This Row],[Pick]]&lt;=14,DraftData[[#This Row],[Win Shares]]&lt;10),"Yes","No")</f>
        <v>Yes</v>
      </c>
      <c r="Y162" s="2">
        <f>DraftData[[#This Row],[Win Shares]]/DraftData[[#This Row],[Pick]]</f>
        <v>0.87272727272727268</v>
      </c>
      <c r="Z162" s="2">
        <f>DraftData[[#This Row],[Win Shares]]-_xlfn.XLOOKUP(DraftData[[#This Row],[Pick]],'Lookup Tables'!$A$2:$A$31,'Lookup Tables'!$B$2:$B$31)</f>
        <v>-13.1</v>
      </c>
    </row>
    <row r="163" spans="1:26">
      <c r="A163">
        <v>2010</v>
      </c>
      <c r="B163">
        <v>12</v>
      </c>
      <c r="C163" t="s">
        <v>80</v>
      </c>
      <c r="D163" t="s">
        <v>286</v>
      </c>
      <c r="E163" t="s">
        <v>107</v>
      </c>
      <c r="F163">
        <v>185</v>
      </c>
      <c r="G163">
        <v>2905</v>
      </c>
      <c r="H163">
        <v>1050</v>
      </c>
      <c r="I163">
        <v>351</v>
      </c>
      <c r="J163">
        <v>120</v>
      </c>
      <c r="K163">
        <v>0.40600000000000003</v>
      </c>
      <c r="L163">
        <v>0.32500000000000001</v>
      </c>
      <c r="M163">
        <v>0.63500000000000001</v>
      </c>
      <c r="N163">
        <v>0.8</v>
      </c>
      <c r="O163">
        <v>1.2999999999999999E-2</v>
      </c>
      <c r="P163">
        <v>-4.4000000000000004</v>
      </c>
      <c r="Q163">
        <v>-1.7</v>
      </c>
      <c r="R163">
        <v>15.7</v>
      </c>
      <c r="S163">
        <v>5.7</v>
      </c>
      <c r="T163">
        <v>1.9</v>
      </c>
      <c r="U163">
        <v>0.6</v>
      </c>
      <c r="V163" t="str">
        <f>IF(DraftData[[#This Row],[Pick]]&lt;=5,"Top 5",
IF(DraftData[[#This Row],[Pick]]&lt;=14,"Lottery",
IF(DraftData[[#This Row],[Pick]]&lt;=20,"Mid First","Late First")))</f>
        <v>Lottery</v>
      </c>
      <c r="W163" t="str">
        <f>IF(DraftData[[#This Row],[Win Shares]]&gt;=80,"Star",
IF(DraftData[[#This Row],[Win Shares]]&gt;=30,"Starter",
IF(DraftData[[#This Row],[Win Shares]]&gt;=10,"Rotation","Minimal")))</f>
        <v>Minimal</v>
      </c>
      <c r="X163" t="str">
        <f>IF(AND(DraftData[[#This Row],[Pick]]&lt;=14,DraftData[[#This Row],[Win Shares]]&lt;10),"Yes","No")</f>
        <v>Yes</v>
      </c>
      <c r="Y163" s="2">
        <f>DraftData[[#This Row],[Win Shares]]/DraftData[[#This Row],[Pick]]</f>
        <v>6.6666666666666666E-2</v>
      </c>
      <c r="Z163" s="2">
        <f>DraftData[[#This Row],[Win Shares]]-_xlfn.XLOOKUP(DraftData[[#This Row],[Pick]],'Lookup Tables'!$A$2:$A$31,'Lookup Tables'!$B$2:$B$31)</f>
        <v>-20.516666666666666</v>
      </c>
    </row>
    <row r="164" spans="1:26">
      <c r="A164">
        <v>2010</v>
      </c>
      <c r="B164">
        <v>13</v>
      </c>
      <c r="C164" t="s">
        <v>52</v>
      </c>
      <c r="D164" t="s">
        <v>287</v>
      </c>
      <c r="E164" t="s">
        <v>41</v>
      </c>
      <c r="F164">
        <v>710</v>
      </c>
      <c r="G164">
        <v>13697</v>
      </c>
      <c r="H164">
        <v>4284</v>
      </c>
      <c r="I164">
        <v>4596</v>
      </c>
      <c r="J164">
        <v>537</v>
      </c>
      <c r="K164">
        <v>0.56699999999999995</v>
      </c>
      <c r="L164">
        <v>0</v>
      </c>
      <c r="M164">
        <v>0.58399999999999996</v>
      </c>
      <c r="N164">
        <v>43.1</v>
      </c>
      <c r="O164">
        <v>0.151</v>
      </c>
      <c r="P164">
        <v>-0.2</v>
      </c>
      <c r="Q164">
        <v>6.2</v>
      </c>
      <c r="R164">
        <v>19.3</v>
      </c>
      <c r="S164">
        <v>6</v>
      </c>
      <c r="T164">
        <v>6.5</v>
      </c>
      <c r="U164">
        <v>0.8</v>
      </c>
      <c r="V164" t="str">
        <f>IF(DraftData[[#This Row],[Pick]]&lt;=5,"Top 5",
IF(DraftData[[#This Row],[Pick]]&lt;=14,"Lottery",
IF(DraftData[[#This Row],[Pick]]&lt;=20,"Mid First","Late First")))</f>
        <v>Lottery</v>
      </c>
      <c r="W164" t="str">
        <f>IF(DraftData[[#This Row],[Win Shares]]&gt;=80,"Star",
IF(DraftData[[#This Row],[Win Shares]]&gt;=30,"Starter",
IF(DraftData[[#This Row],[Win Shares]]&gt;=10,"Rotation","Minimal")))</f>
        <v>Starter</v>
      </c>
      <c r="X164" t="str">
        <f>IF(AND(DraftData[[#This Row],[Pick]]&lt;=14,DraftData[[#This Row],[Win Shares]]&lt;10),"Yes","No")</f>
        <v>No</v>
      </c>
      <c r="Y164" s="2">
        <f>DraftData[[#This Row],[Win Shares]]/DraftData[[#This Row],[Pick]]</f>
        <v>3.3153846153846156</v>
      </c>
      <c r="Z164" s="2">
        <f>DraftData[[#This Row],[Win Shares]]-_xlfn.XLOOKUP(DraftData[[#This Row],[Pick]],'Lookup Tables'!$A$2:$A$31,'Lookup Tables'!$B$2:$B$31)</f>
        <v>23.766666666666669</v>
      </c>
    </row>
    <row r="165" spans="1:26">
      <c r="A165">
        <v>2010</v>
      </c>
      <c r="B165">
        <v>14</v>
      </c>
      <c r="C165" t="s">
        <v>94</v>
      </c>
      <c r="D165" t="s">
        <v>288</v>
      </c>
      <c r="E165" t="s">
        <v>144</v>
      </c>
      <c r="F165">
        <v>719</v>
      </c>
      <c r="G165">
        <v>14923</v>
      </c>
      <c r="H165">
        <v>4782</v>
      </c>
      <c r="I165">
        <v>2799</v>
      </c>
      <c r="J165">
        <v>736</v>
      </c>
      <c r="K165">
        <v>0.44700000000000001</v>
      </c>
      <c r="L165">
        <v>0.36899999999999999</v>
      </c>
      <c r="M165">
        <v>0.755</v>
      </c>
      <c r="N165">
        <v>31.9</v>
      </c>
      <c r="O165">
        <v>0.10199999999999999</v>
      </c>
      <c r="P165">
        <v>0</v>
      </c>
      <c r="Q165">
        <v>7.4</v>
      </c>
      <c r="R165">
        <v>20.8</v>
      </c>
      <c r="S165">
        <v>6.7</v>
      </c>
      <c r="T165">
        <v>3.9</v>
      </c>
      <c r="U165">
        <v>1</v>
      </c>
      <c r="V165" t="str">
        <f>IF(DraftData[[#This Row],[Pick]]&lt;=5,"Top 5",
IF(DraftData[[#This Row],[Pick]]&lt;=14,"Lottery",
IF(DraftData[[#This Row],[Pick]]&lt;=20,"Mid First","Late First")))</f>
        <v>Lottery</v>
      </c>
      <c r="W165" t="str">
        <f>IF(DraftData[[#This Row],[Win Shares]]&gt;=80,"Star",
IF(DraftData[[#This Row],[Win Shares]]&gt;=30,"Starter",
IF(DraftData[[#This Row],[Win Shares]]&gt;=10,"Rotation","Minimal")))</f>
        <v>Starter</v>
      </c>
      <c r="X165" t="str">
        <f>IF(AND(DraftData[[#This Row],[Pick]]&lt;=14,DraftData[[#This Row],[Win Shares]]&lt;10),"Yes","No")</f>
        <v>No</v>
      </c>
      <c r="Y165" s="2">
        <f>DraftData[[#This Row],[Win Shares]]/DraftData[[#This Row],[Pick]]</f>
        <v>2.2785714285714285</v>
      </c>
      <c r="Z165" s="2">
        <f>DraftData[[#This Row],[Win Shares]]-_xlfn.XLOOKUP(DraftData[[#This Row],[Pick]],'Lookup Tables'!$A$2:$A$31,'Lookup Tables'!$B$2:$B$31)</f>
        <v>17.149999999999999</v>
      </c>
    </row>
    <row r="166" spans="1:26">
      <c r="A166">
        <v>2010</v>
      </c>
      <c r="B166">
        <v>15</v>
      </c>
      <c r="C166" t="s">
        <v>36</v>
      </c>
      <c r="D166" t="s">
        <v>289</v>
      </c>
      <c r="E166" t="s">
        <v>261</v>
      </c>
      <c r="F166">
        <v>238</v>
      </c>
      <c r="G166">
        <v>4635</v>
      </c>
      <c r="H166">
        <v>1520</v>
      </c>
      <c r="I166">
        <v>1345</v>
      </c>
      <c r="J166">
        <v>174</v>
      </c>
      <c r="K166">
        <v>0.48</v>
      </c>
      <c r="L166">
        <v>0</v>
      </c>
      <c r="M166">
        <v>0.55300000000000005</v>
      </c>
      <c r="N166">
        <v>10.3</v>
      </c>
      <c r="O166">
        <v>0.107</v>
      </c>
      <c r="P166">
        <v>-1.1000000000000001</v>
      </c>
      <c r="Q166">
        <v>1.1000000000000001</v>
      </c>
      <c r="R166">
        <v>19.5</v>
      </c>
      <c r="S166">
        <v>6.4</v>
      </c>
      <c r="T166">
        <v>5.7</v>
      </c>
      <c r="U166">
        <v>0.7</v>
      </c>
      <c r="V166" t="str">
        <f>IF(DraftData[[#This Row],[Pick]]&lt;=5,"Top 5",
IF(DraftData[[#This Row],[Pick]]&lt;=14,"Lottery",
IF(DraftData[[#This Row],[Pick]]&lt;=20,"Mid First","Late First")))</f>
        <v>Mid First</v>
      </c>
      <c r="W166" t="str">
        <f>IF(DraftData[[#This Row],[Win Shares]]&gt;=80,"Star",
IF(DraftData[[#This Row],[Win Shares]]&gt;=30,"Starter",
IF(DraftData[[#This Row],[Win Shares]]&gt;=10,"Rotation","Minimal")))</f>
        <v>Rotation</v>
      </c>
      <c r="X166" t="str">
        <f>IF(AND(DraftData[[#This Row],[Pick]]&lt;=14,DraftData[[#This Row],[Win Shares]]&lt;10),"Yes","No")</f>
        <v>No</v>
      </c>
      <c r="Y166" s="2">
        <f>DraftData[[#This Row],[Win Shares]]/DraftData[[#This Row],[Pick]]</f>
        <v>0.68666666666666676</v>
      </c>
      <c r="Z166" s="2">
        <f>DraftData[[#This Row],[Win Shares]]-_xlfn.XLOOKUP(DraftData[[#This Row],[Pick]],'Lookup Tables'!$A$2:$A$31,'Lookup Tables'!$B$2:$B$31)</f>
        <v>-15.483333333333331</v>
      </c>
    </row>
    <row r="167" spans="1:26">
      <c r="A167">
        <v>2010</v>
      </c>
      <c r="B167">
        <v>16</v>
      </c>
      <c r="C167" t="s">
        <v>68</v>
      </c>
      <c r="D167" t="s">
        <v>290</v>
      </c>
      <c r="E167" t="s">
        <v>223</v>
      </c>
      <c r="F167">
        <v>381</v>
      </c>
      <c r="G167">
        <v>5332</v>
      </c>
      <c r="H167">
        <v>1818</v>
      </c>
      <c r="I167">
        <v>846</v>
      </c>
      <c r="J167">
        <v>224</v>
      </c>
      <c r="K167">
        <v>0.40799999999999997</v>
      </c>
      <c r="L167">
        <v>0.40200000000000002</v>
      </c>
      <c r="M167">
        <v>0.747</v>
      </c>
      <c r="N167">
        <v>7.2</v>
      </c>
      <c r="O167">
        <v>6.5000000000000002E-2</v>
      </c>
      <c r="P167">
        <v>-2.1</v>
      </c>
      <c r="Q167">
        <v>-0.1</v>
      </c>
      <c r="R167">
        <v>14</v>
      </c>
      <c r="S167">
        <v>4.8</v>
      </c>
      <c r="T167">
        <v>2.2000000000000002</v>
      </c>
      <c r="U167">
        <v>0.6</v>
      </c>
      <c r="V167" t="str">
        <f>IF(DraftData[[#This Row],[Pick]]&lt;=5,"Top 5",
IF(DraftData[[#This Row],[Pick]]&lt;=14,"Lottery",
IF(DraftData[[#This Row],[Pick]]&lt;=20,"Mid First","Late First")))</f>
        <v>Mid First</v>
      </c>
      <c r="W167" t="str">
        <f>IF(DraftData[[#This Row],[Win Shares]]&gt;=80,"Star",
IF(DraftData[[#This Row],[Win Shares]]&gt;=30,"Starter",
IF(DraftData[[#This Row],[Win Shares]]&gt;=10,"Rotation","Minimal")))</f>
        <v>Minimal</v>
      </c>
      <c r="X167" t="str">
        <f>IF(AND(DraftData[[#This Row],[Pick]]&lt;=14,DraftData[[#This Row],[Win Shares]]&lt;10),"Yes","No")</f>
        <v>No</v>
      </c>
      <c r="Y167" s="2">
        <f>DraftData[[#This Row],[Win Shares]]/DraftData[[#This Row],[Pick]]</f>
        <v>0.45</v>
      </c>
      <c r="Z167" s="2">
        <f>DraftData[[#This Row],[Win Shares]]-_xlfn.XLOOKUP(DraftData[[#This Row],[Pick]],'Lookup Tables'!$A$2:$A$31,'Lookup Tables'!$B$2:$B$31)</f>
        <v>-9.783333333333335</v>
      </c>
    </row>
    <row r="168" spans="1:26">
      <c r="A168">
        <v>2010</v>
      </c>
      <c r="B168">
        <v>17</v>
      </c>
      <c r="C168" t="s">
        <v>111</v>
      </c>
      <c r="D168" t="s">
        <v>291</v>
      </c>
      <c r="F168">
        <v>423</v>
      </c>
      <c r="G168">
        <v>6430</v>
      </c>
      <c r="H168">
        <v>2516</v>
      </c>
      <c r="I168">
        <v>1462</v>
      </c>
      <c r="J168">
        <v>246</v>
      </c>
      <c r="K168">
        <v>0.48899999999999999</v>
      </c>
      <c r="L168">
        <v>0</v>
      </c>
      <c r="M168">
        <v>0.71499999999999997</v>
      </c>
      <c r="N168">
        <v>5.9</v>
      </c>
      <c r="O168">
        <v>4.3999999999999997E-2</v>
      </c>
      <c r="P168">
        <v>-4.3</v>
      </c>
      <c r="Q168">
        <v>-3.6</v>
      </c>
      <c r="R168">
        <v>15.2</v>
      </c>
      <c r="S168">
        <v>5.9</v>
      </c>
      <c r="T168">
        <v>3.5</v>
      </c>
      <c r="U168">
        <v>0.6</v>
      </c>
      <c r="V168" t="str">
        <f>IF(DraftData[[#This Row],[Pick]]&lt;=5,"Top 5",
IF(DraftData[[#This Row],[Pick]]&lt;=14,"Lottery",
IF(DraftData[[#This Row],[Pick]]&lt;=20,"Mid First","Late First")))</f>
        <v>Mid First</v>
      </c>
      <c r="W168" t="str">
        <f>IF(DraftData[[#This Row],[Win Shares]]&gt;=80,"Star",
IF(DraftData[[#This Row],[Win Shares]]&gt;=30,"Starter",
IF(DraftData[[#This Row],[Win Shares]]&gt;=10,"Rotation","Minimal")))</f>
        <v>Minimal</v>
      </c>
      <c r="X168" t="str">
        <f>IF(AND(DraftData[[#This Row],[Pick]]&lt;=14,DraftData[[#This Row],[Win Shares]]&lt;10),"Yes","No")</f>
        <v>No</v>
      </c>
      <c r="Y168" s="2">
        <f>DraftData[[#This Row],[Win Shares]]/DraftData[[#This Row],[Pick]]</f>
        <v>0.34705882352941181</v>
      </c>
      <c r="Z168" s="2">
        <f>DraftData[[#This Row],[Win Shares]]-_xlfn.XLOOKUP(DraftData[[#This Row],[Pick]],'Lookup Tables'!$A$2:$A$31,'Lookup Tables'!$B$2:$B$31)</f>
        <v>-11.416666666666666</v>
      </c>
    </row>
    <row r="169" spans="1:26">
      <c r="A169">
        <v>2010</v>
      </c>
      <c r="B169">
        <v>18</v>
      </c>
      <c r="C169" t="s">
        <v>96</v>
      </c>
      <c r="D169" t="s">
        <v>292</v>
      </c>
      <c r="E169" t="s">
        <v>144</v>
      </c>
      <c r="F169">
        <v>756</v>
      </c>
      <c r="G169">
        <v>21021</v>
      </c>
      <c r="H169">
        <v>10348</v>
      </c>
      <c r="I169">
        <v>2937</v>
      </c>
      <c r="J169">
        <v>3545</v>
      </c>
      <c r="K169">
        <v>0.45200000000000001</v>
      </c>
      <c r="L169">
        <v>0.33600000000000002</v>
      </c>
      <c r="M169">
        <v>0.78400000000000003</v>
      </c>
      <c r="N169">
        <v>46.2</v>
      </c>
      <c r="O169">
        <v>0.105</v>
      </c>
      <c r="P169">
        <v>1.6</v>
      </c>
      <c r="Q169">
        <v>18.899999999999999</v>
      </c>
      <c r="R169">
        <v>27.8</v>
      </c>
      <c r="S169">
        <v>13.7</v>
      </c>
      <c r="T169">
        <v>3.9</v>
      </c>
      <c r="U169">
        <v>4.7</v>
      </c>
      <c r="V169" t="str">
        <f>IF(DraftData[[#This Row],[Pick]]&lt;=5,"Top 5",
IF(DraftData[[#This Row],[Pick]]&lt;=14,"Lottery",
IF(DraftData[[#This Row],[Pick]]&lt;=20,"Mid First","Late First")))</f>
        <v>Mid First</v>
      </c>
      <c r="W169" t="str">
        <f>IF(DraftData[[#This Row],[Win Shares]]&gt;=80,"Star",
IF(DraftData[[#This Row],[Win Shares]]&gt;=30,"Starter",
IF(DraftData[[#This Row],[Win Shares]]&gt;=10,"Rotation","Minimal")))</f>
        <v>Starter</v>
      </c>
      <c r="X169" t="str">
        <f>IF(AND(DraftData[[#This Row],[Pick]]&lt;=14,DraftData[[#This Row],[Win Shares]]&lt;10),"Yes","No")</f>
        <v>No</v>
      </c>
      <c r="Y169" s="2">
        <f>DraftData[[#This Row],[Win Shares]]/DraftData[[#This Row],[Pick]]</f>
        <v>2.5666666666666669</v>
      </c>
      <c r="Z169" s="2">
        <f>DraftData[[#This Row],[Win Shares]]-_xlfn.XLOOKUP(DraftData[[#This Row],[Pick]],'Lookup Tables'!$A$2:$A$31,'Lookup Tables'!$B$2:$B$31)</f>
        <v>28.891666666666669</v>
      </c>
    </row>
    <row r="170" spans="1:26">
      <c r="A170">
        <v>2010</v>
      </c>
      <c r="B170">
        <v>19</v>
      </c>
      <c r="C170" t="s">
        <v>78</v>
      </c>
      <c r="D170" t="s">
        <v>293</v>
      </c>
      <c r="E170" t="s">
        <v>113</v>
      </c>
      <c r="F170">
        <v>647</v>
      </c>
      <c r="G170">
        <v>17910</v>
      </c>
      <c r="H170">
        <v>7210</v>
      </c>
      <c r="I170">
        <v>1840</v>
      </c>
      <c r="J170">
        <v>1099</v>
      </c>
      <c r="K170">
        <v>0.434</v>
      </c>
      <c r="L170">
        <v>0.36399999999999999</v>
      </c>
      <c r="M170">
        <v>0.78200000000000003</v>
      </c>
      <c r="N170">
        <v>17</v>
      </c>
      <c r="O170">
        <v>4.5999999999999999E-2</v>
      </c>
      <c r="P170">
        <v>-2.4</v>
      </c>
      <c r="Q170">
        <v>-1.7</v>
      </c>
      <c r="R170">
        <v>27.7</v>
      </c>
      <c r="S170">
        <v>11.1</v>
      </c>
      <c r="T170">
        <v>2.8</v>
      </c>
      <c r="U170">
        <v>1.7</v>
      </c>
      <c r="V170" t="str">
        <f>IF(DraftData[[#This Row],[Pick]]&lt;=5,"Top 5",
IF(DraftData[[#This Row],[Pick]]&lt;=14,"Lottery",
IF(DraftData[[#This Row],[Pick]]&lt;=20,"Mid First","Late First")))</f>
        <v>Mid First</v>
      </c>
      <c r="W170" t="str">
        <f>IF(DraftData[[#This Row],[Win Shares]]&gt;=80,"Star",
IF(DraftData[[#This Row],[Win Shares]]&gt;=30,"Starter",
IF(DraftData[[#This Row],[Win Shares]]&gt;=10,"Rotation","Minimal")))</f>
        <v>Rotation</v>
      </c>
      <c r="X170" t="str">
        <f>IF(AND(DraftData[[#This Row],[Pick]]&lt;=14,DraftData[[#This Row],[Win Shares]]&lt;10),"Yes","No")</f>
        <v>No</v>
      </c>
      <c r="Y170" s="2">
        <f>DraftData[[#This Row],[Win Shares]]/DraftData[[#This Row],[Pick]]</f>
        <v>0.89473684210526316</v>
      </c>
      <c r="Z170" s="2">
        <f>DraftData[[#This Row],[Win Shares]]-_xlfn.XLOOKUP(DraftData[[#This Row],[Pick]],'Lookup Tables'!$A$2:$A$31,'Lookup Tables'!$B$2:$B$31)</f>
        <v>-0.57500000000000284</v>
      </c>
    </row>
    <row r="171" spans="1:26">
      <c r="A171">
        <v>2010</v>
      </c>
      <c r="B171">
        <v>20</v>
      </c>
      <c r="C171" t="s">
        <v>103</v>
      </c>
      <c r="D171" t="s">
        <v>294</v>
      </c>
      <c r="E171" t="s">
        <v>74</v>
      </c>
      <c r="F171">
        <v>247</v>
      </c>
      <c r="G171">
        <v>4320</v>
      </c>
      <c r="H171">
        <v>1422</v>
      </c>
      <c r="I171">
        <v>560</v>
      </c>
      <c r="J171">
        <v>291</v>
      </c>
      <c r="K171">
        <v>0.41099999999999998</v>
      </c>
      <c r="L171">
        <v>0.32100000000000001</v>
      </c>
      <c r="M171">
        <v>0.755</v>
      </c>
      <c r="N171">
        <v>3.3</v>
      </c>
      <c r="O171">
        <v>3.6999999999999998E-2</v>
      </c>
      <c r="P171">
        <v>-2.7</v>
      </c>
      <c r="Q171">
        <v>-0.8</v>
      </c>
      <c r="R171">
        <v>17.5</v>
      </c>
      <c r="S171">
        <v>5.8</v>
      </c>
      <c r="T171">
        <v>2.2999999999999998</v>
      </c>
      <c r="U171">
        <v>1.2</v>
      </c>
      <c r="V171" t="str">
        <f>IF(DraftData[[#This Row],[Pick]]&lt;=5,"Top 5",
IF(DraftData[[#This Row],[Pick]]&lt;=14,"Lottery",
IF(DraftData[[#This Row],[Pick]]&lt;=20,"Mid First","Late First")))</f>
        <v>Mid First</v>
      </c>
      <c r="W171" t="str">
        <f>IF(DraftData[[#This Row],[Win Shares]]&gt;=80,"Star",
IF(DraftData[[#This Row],[Win Shares]]&gt;=30,"Starter",
IF(DraftData[[#This Row],[Win Shares]]&gt;=10,"Rotation","Minimal")))</f>
        <v>Minimal</v>
      </c>
      <c r="X171" t="str">
        <f>IF(AND(DraftData[[#This Row],[Pick]]&lt;=14,DraftData[[#This Row],[Win Shares]]&lt;10),"Yes","No")</f>
        <v>No</v>
      </c>
      <c r="Y171" s="2">
        <f>DraftData[[#This Row],[Win Shares]]/DraftData[[#This Row],[Pick]]</f>
        <v>0.16499999999999998</v>
      </c>
      <c r="Z171" s="2">
        <f>DraftData[[#This Row],[Win Shares]]-_xlfn.XLOOKUP(DraftData[[#This Row],[Pick]],'Lookup Tables'!$A$2:$A$31,'Lookup Tables'!$B$2:$B$31)</f>
        <v>-7.0916666666666677</v>
      </c>
    </row>
    <row r="172" spans="1:26">
      <c r="A172">
        <v>2010</v>
      </c>
      <c r="B172">
        <v>21</v>
      </c>
      <c r="C172" t="s">
        <v>96</v>
      </c>
      <c r="D172" t="s">
        <v>295</v>
      </c>
      <c r="E172" t="s">
        <v>296</v>
      </c>
      <c r="F172">
        <v>17</v>
      </c>
      <c r="G172">
        <v>121</v>
      </c>
      <c r="H172">
        <v>30</v>
      </c>
      <c r="I172">
        <v>19</v>
      </c>
      <c r="J172">
        <v>9</v>
      </c>
      <c r="K172">
        <v>0.26500000000000001</v>
      </c>
      <c r="L172">
        <v>0.214</v>
      </c>
      <c r="M172">
        <v>0.5</v>
      </c>
      <c r="N172">
        <v>-0.2</v>
      </c>
      <c r="O172">
        <v>-8.8999999999999996E-2</v>
      </c>
      <c r="P172">
        <v>-9.9</v>
      </c>
      <c r="Q172">
        <v>-0.2</v>
      </c>
      <c r="R172">
        <v>7.1</v>
      </c>
      <c r="S172">
        <v>1.8</v>
      </c>
      <c r="T172">
        <v>1.1000000000000001</v>
      </c>
      <c r="U172">
        <v>0.5</v>
      </c>
      <c r="V172" t="str">
        <f>IF(DraftData[[#This Row],[Pick]]&lt;=5,"Top 5",
IF(DraftData[[#This Row],[Pick]]&lt;=14,"Lottery",
IF(DraftData[[#This Row],[Pick]]&lt;=20,"Mid First","Late First")))</f>
        <v>Late First</v>
      </c>
      <c r="W172" t="str">
        <f>IF(DraftData[[#This Row],[Win Shares]]&gt;=80,"Star",
IF(DraftData[[#This Row],[Win Shares]]&gt;=30,"Starter",
IF(DraftData[[#This Row],[Win Shares]]&gt;=10,"Rotation","Minimal")))</f>
        <v>Minimal</v>
      </c>
      <c r="X172" t="str">
        <f>IF(AND(DraftData[[#This Row],[Pick]]&lt;=14,DraftData[[#This Row],[Win Shares]]&lt;10),"Yes","No")</f>
        <v>No</v>
      </c>
      <c r="Y172" s="2">
        <f>DraftData[[#This Row],[Win Shares]]/DraftData[[#This Row],[Pick]]</f>
        <v>-9.5238095238095247E-3</v>
      </c>
      <c r="Z172" s="2">
        <f>DraftData[[#This Row],[Win Shares]]-_xlfn.XLOOKUP(DraftData[[#This Row],[Pick]],'Lookup Tables'!$A$2:$A$31,'Lookup Tables'!$B$2:$B$31)</f>
        <v>-20.700000000000003</v>
      </c>
    </row>
    <row r="173" spans="1:26">
      <c r="A173">
        <v>2010</v>
      </c>
      <c r="B173">
        <v>22</v>
      </c>
      <c r="C173" t="s">
        <v>50</v>
      </c>
      <c r="D173" t="s">
        <v>297</v>
      </c>
      <c r="E173" t="s">
        <v>135</v>
      </c>
      <c r="F173">
        <v>109</v>
      </c>
      <c r="G173">
        <v>1470</v>
      </c>
      <c r="H173">
        <v>537</v>
      </c>
      <c r="I173">
        <v>161</v>
      </c>
      <c r="J173">
        <v>94</v>
      </c>
      <c r="K173">
        <v>0.42099999999999999</v>
      </c>
      <c r="L173">
        <v>0.31</v>
      </c>
      <c r="M173">
        <v>0.66900000000000004</v>
      </c>
      <c r="N173">
        <v>0.7</v>
      </c>
      <c r="O173">
        <v>2.4E-2</v>
      </c>
      <c r="P173">
        <v>-4.9000000000000004</v>
      </c>
      <c r="Q173">
        <v>-1.1000000000000001</v>
      </c>
      <c r="R173">
        <v>13.5</v>
      </c>
      <c r="S173">
        <v>4.9000000000000004</v>
      </c>
      <c r="T173">
        <v>1.5</v>
      </c>
      <c r="U173">
        <v>0.9</v>
      </c>
      <c r="V173" t="str">
        <f>IF(DraftData[[#This Row],[Pick]]&lt;=5,"Top 5",
IF(DraftData[[#This Row],[Pick]]&lt;=14,"Lottery",
IF(DraftData[[#This Row],[Pick]]&lt;=20,"Mid First","Late First")))</f>
        <v>Late First</v>
      </c>
      <c r="W173" t="str">
        <f>IF(DraftData[[#This Row],[Win Shares]]&gt;=80,"Star",
IF(DraftData[[#This Row],[Win Shares]]&gt;=30,"Starter",
IF(DraftData[[#This Row],[Win Shares]]&gt;=10,"Rotation","Minimal")))</f>
        <v>Minimal</v>
      </c>
      <c r="X173" t="str">
        <f>IF(AND(DraftData[[#This Row],[Pick]]&lt;=14,DraftData[[#This Row],[Win Shares]]&lt;10),"Yes","No")</f>
        <v>No</v>
      </c>
      <c r="Y173" s="2">
        <f>DraftData[[#This Row],[Win Shares]]/DraftData[[#This Row],[Pick]]</f>
        <v>3.1818181818181815E-2</v>
      </c>
      <c r="Z173" s="2">
        <f>DraftData[[#This Row],[Win Shares]]-_xlfn.XLOOKUP(DraftData[[#This Row],[Pick]],'Lookup Tables'!$A$2:$A$31,'Lookup Tables'!$B$2:$B$31)</f>
        <v>-17.783333333333339</v>
      </c>
    </row>
    <row r="174" spans="1:26">
      <c r="A174">
        <v>2010</v>
      </c>
      <c r="B174">
        <v>23</v>
      </c>
      <c r="C174" t="s">
        <v>68</v>
      </c>
      <c r="D174" t="s">
        <v>298</v>
      </c>
      <c r="E174" t="s">
        <v>299</v>
      </c>
      <c r="F174">
        <v>532</v>
      </c>
      <c r="G174">
        <v>10872</v>
      </c>
      <c r="H174">
        <v>3679</v>
      </c>
      <c r="I174">
        <v>2932</v>
      </c>
      <c r="J174">
        <v>566</v>
      </c>
      <c r="K174">
        <v>0.51500000000000001</v>
      </c>
      <c r="L174">
        <v>0.30499999999999999</v>
      </c>
      <c r="M174">
        <v>0.63600000000000001</v>
      </c>
      <c r="N174">
        <v>26.2</v>
      </c>
      <c r="O174">
        <v>0.11600000000000001</v>
      </c>
      <c r="P174">
        <v>-0.5</v>
      </c>
      <c r="Q174">
        <v>4.2</v>
      </c>
      <c r="R174">
        <v>20.399999999999999</v>
      </c>
      <c r="S174">
        <v>6.9</v>
      </c>
      <c r="T174">
        <v>5.5</v>
      </c>
      <c r="U174">
        <v>1.1000000000000001</v>
      </c>
      <c r="V174" t="str">
        <f>IF(DraftData[[#This Row],[Pick]]&lt;=5,"Top 5",
IF(DraftData[[#This Row],[Pick]]&lt;=14,"Lottery",
IF(DraftData[[#This Row],[Pick]]&lt;=20,"Mid First","Late First")))</f>
        <v>Late First</v>
      </c>
      <c r="W174" t="str">
        <f>IF(DraftData[[#This Row],[Win Shares]]&gt;=80,"Star",
IF(DraftData[[#This Row],[Win Shares]]&gt;=30,"Starter",
IF(DraftData[[#This Row],[Win Shares]]&gt;=10,"Rotation","Minimal")))</f>
        <v>Rotation</v>
      </c>
      <c r="X174" t="str">
        <f>IF(AND(DraftData[[#This Row],[Pick]]&lt;=14,DraftData[[#This Row],[Win Shares]]&lt;10),"Yes","No")</f>
        <v>No</v>
      </c>
      <c r="Y174" s="2">
        <f>DraftData[[#This Row],[Win Shares]]/DraftData[[#This Row],[Pick]]</f>
        <v>1.1391304347826086</v>
      </c>
      <c r="Z174" s="2">
        <f>DraftData[[#This Row],[Win Shares]]-_xlfn.XLOOKUP(DraftData[[#This Row],[Pick]],'Lookup Tables'!$A$2:$A$31,'Lookup Tables'!$B$2:$B$31)</f>
        <v>9.5583333333333336</v>
      </c>
    </row>
    <row r="175" spans="1:26">
      <c r="A175">
        <v>2010</v>
      </c>
      <c r="B175">
        <v>24</v>
      </c>
      <c r="C175" t="s">
        <v>39</v>
      </c>
      <c r="D175" t="s">
        <v>300</v>
      </c>
      <c r="E175" t="s">
        <v>113</v>
      </c>
      <c r="F175">
        <v>39</v>
      </c>
      <c r="G175">
        <v>623</v>
      </c>
      <c r="H175">
        <v>150</v>
      </c>
      <c r="I175">
        <v>131</v>
      </c>
      <c r="J175">
        <v>26</v>
      </c>
      <c r="K175">
        <v>0.41499999999999998</v>
      </c>
      <c r="L175">
        <v>0</v>
      </c>
      <c r="M175">
        <v>0.66700000000000004</v>
      </c>
      <c r="N175">
        <v>0</v>
      </c>
      <c r="O175">
        <v>-1E-3</v>
      </c>
      <c r="P175">
        <v>-3.7</v>
      </c>
      <c r="Q175">
        <v>-0.3</v>
      </c>
      <c r="R175">
        <v>16</v>
      </c>
      <c r="S175">
        <v>3.8</v>
      </c>
      <c r="T175">
        <v>3.4</v>
      </c>
      <c r="U175">
        <v>0.7</v>
      </c>
      <c r="V175" t="str">
        <f>IF(DraftData[[#This Row],[Pick]]&lt;=5,"Top 5",
IF(DraftData[[#This Row],[Pick]]&lt;=14,"Lottery",
IF(DraftData[[#This Row],[Pick]]&lt;=20,"Mid First","Late First")))</f>
        <v>Late First</v>
      </c>
      <c r="W175" t="str">
        <f>IF(DraftData[[#This Row],[Win Shares]]&gt;=80,"Star",
IF(DraftData[[#This Row],[Win Shares]]&gt;=30,"Starter",
IF(DraftData[[#This Row],[Win Shares]]&gt;=10,"Rotation","Minimal")))</f>
        <v>Minimal</v>
      </c>
      <c r="X175" t="str">
        <f>IF(AND(DraftData[[#This Row],[Pick]]&lt;=14,DraftData[[#This Row],[Win Shares]]&lt;10),"Yes","No")</f>
        <v>No</v>
      </c>
      <c r="Y175" s="2">
        <f>DraftData[[#This Row],[Win Shares]]/DraftData[[#This Row],[Pick]]</f>
        <v>0</v>
      </c>
      <c r="Z175" s="2">
        <f>DraftData[[#This Row],[Win Shares]]-_xlfn.XLOOKUP(DraftData[[#This Row],[Pick]],'Lookup Tables'!$A$2:$A$31,'Lookup Tables'!$B$2:$B$31)</f>
        <v>-24.5</v>
      </c>
    </row>
    <row r="176" spans="1:26">
      <c r="A176">
        <v>2010</v>
      </c>
      <c r="B176">
        <v>25</v>
      </c>
      <c r="C176" t="s">
        <v>80</v>
      </c>
      <c r="D176" t="s">
        <v>301</v>
      </c>
      <c r="E176" t="s">
        <v>302</v>
      </c>
      <c r="F176">
        <v>80</v>
      </c>
      <c r="G176">
        <v>741</v>
      </c>
      <c r="H176">
        <v>246</v>
      </c>
      <c r="I176">
        <v>114</v>
      </c>
      <c r="J176">
        <v>144</v>
      </c>
      <c r="K176">
        <v>0.36599999999999999</v>
      </c>
      <c r="L176">
        <v>9.5000000000000001E-2</v>
      </c>
      <c r="M176">
        <v>0.72899999999999998</v>
      </c>
      <c r="N176">
        <v>0.3</v>
      </c>
      <c r="O176">
        <v>1.7000000000000001E-2</v>
      </c>
      <c r="P176">
        <v>-2.4</v>
      </c>
      <c r="Q176">
        <v>-0.1</v>
      </c>
      <c r="R176">
        <v>9.3000000000000007</v>
      </c>
      <c r="S176">
        <v>3.1</v>
      </c>
      <c r="T176">
        <v>1.4</v>
      </c>
      <c r="U176">
        <v>1.8</v>
      </c>
      <c r="V176" t="str">
        <f>IF(DraftData[[#This Row],[Pick]]&lt;=5,"Top 5",
IF(DraftData[[#This Row],[Pick]]&lt;=14,"Lottery",
IF(DraftData[[#This Row],[Pick]]&lt;=20,"Mid First","Late First")))</f>
        <v>Late First</v>
      </c>
      <c r="W176" t="str">
        <f>IF(DraftData[[#This Row],[Win Shares]]&gt;=80,"Star",
IF(DraftData[[#This Row],[Win Shares]]&gt;=30,"Starter",
IF(DraftData[[#This Row],[Win Shares]]&gt;=10,"Rotation","Minimal")))</f>
        <v>Minimal</v>
      </c>
      <c r="X176" t="str">
        <f>IF(AND(DraftData[[#This Row],[Pick]]&lt;=14,DraftData[[#This Row],[Win Shares]]&lt;10),"Yes","No")</f>
        <v>No</v>
      </c>
      <c r="Y176" s="2">
        <f>DraftData[[#This Row],[Win Shares]]/DraftData[[#This Row],[Pick]]</f>
        <v>1.2E-2</v>
      </c>
      <c r="Z176" s="2">
        <f>DraftData[[#This Row],[Win Shares]]-_xlfn.XLOOKUP(DraftData[[#This Row],[Pick]],'Lookup Tables'!$A$2:$A$31,'Lookup Tables'!$B$2:$B$31)</f>
        <v>-12.599999999999998</v>
      </c>
    </row>
    <row r="177" spans="1:26">
      <c r="A177">
        <v>2010</v>
      </c>
      <c r="B177">
        <v>26</v>
      </c>
      <c r="C177" t="s">
        <v>96</v>
      </c>
      <c r="D177" t="s">
        <v>303</v>
      </c>
      <c r="E177" t="s">
        <v>88</v>
      </c>
      <c r="F177">
        <v>355</v>
      </c>
      <c r="G177">
        <v>5530</v>
      </c>
      <c r="H177">
        <v>1609</v>
      </c>
      <c r="I177">
        <v>640</v>
      </c>
      <c r="J177">
        <v>263</v>
      </c>
      <c r="K177">
        <v>0.42299999999999999</v>
      </c>
      <c r="L177">
        <v>0.35599999999999998</v>
      </c>
      <c r="M177">
        <v>0.746</v>
      </c>
      <c r="N177">
        <v>9.6999999999999993</v>
      </c>
      <c r="O177">
        <v>8.4000000000000005E-2</v>
      </c>
      <c r="P177">
        <v>-1.8</v>
      </c>
      <c r="Q177">
        <v>0.3</v>
      </c>
      <c r="R177">
        <v>15.6</v>
      </c>
      <c r="S177">
        <v>4.5</v>
      </c>
      <c r="T177">
        <v>1.8</v>
      </c>
      <c r="U177">
        <v>0.7</v>
      </c>
      <c r="V177" t="str">
        <f>IF(DraftData[[#This Row],[Pick]]&lt;=5,"Top 5",
IF(DraftData[[#This Row],[Pick]]&lt;=14,"Lottery",
IF(DraftData[[#This Row],[Pick]]&lt;=20,"Mid First","Late First")))</f>
        <v>Late First</v>
      </c>
      <c r="W177" t="str">
        <f>IF(DraftData[[#This Row],[Win Shares]]&gt;=80,"Star",
IF(DraftData[[#This Row],[Win Shares]]&gt;=30,"Starter",
IF(DraftData[[#This Row],[Win Shares]]&gt;=10,"Rotation","Minimal")))</f>
        <v>Minimal</v>
      </c>
      <c r="X177" t="str">
        <f>IF(AND(DraftData[[#This Row],[Pick]]&lt;=14,DraftData[[#This Row],[Win Shares]]&lt;10),"Yes","No")</f>
        <v>No</v>
      </c>
      <c r="Y177" s="2">
        <f>DraftData[[#This Row],[Win Shares]]/DraftData[[#This Row],[Pick]]</f>
        <v>0.37307692307692303</v>
      </c>
      <c r="Z177" s="2">
        <f>DraftData[[#This Row],[Win Shares]]-_xlfn.XLOOKUP(DraftData[[#This Row],[Pick]],'Lookup Tables'!$A$2:$A$31,'Lookup Tables'!$B$2:$B$31)</f>
        <v>-10.700000000000003</v>
      </c>
    </row>
    <row r="178" spans="1:26">
      <c r="A178">
        <v>2010</v>
      </c>
      <c r="B178">
        <v>27</v>
      </c>
      <c r="C178" t="s">
        <v>70</v>
      </c>
      <c r="D178" t="s">
        <v>304</v>
      </c>
      <c r="E178" t="s">
        <v>305</v>
      </c>
      <c r="F178">
        <v>281</v>
      </c>
      <c r="G178">
        <v>6843</v>
      </c>
      <c r="H178">
        <v>3432</v>
      </c>
      <c r="I178">
        <v>703</v>
      </c>
      <c r="J178">
        <v>883</v>
      </c>
      <c r="K178">
        <v>0.41099999999999998</v>
      </c>
      <c r="L178">
        <v>0.317</v>
      </c>
      <c r="M178">
        <v>0.82599999999999996</v>
      </c>
      <c r="N178">
        <v>6.3</v>
      </c>
      <c r="O178">
        <v>4.3999999999999997E-2</v>
      </c>
      <c r="P178">
        <v>-1.3</v>
      </c>
      <c r="Q178">
        <v>1.3</v>
      </c>
      <c r="R178">
        <v>24.4</v>
      </c>
      <c r="S178">
        <v>12.2</v>
      </c>
      <c r="T178">
        <v>2.5</v>
      </c>
      <c r="U178">
        <v>3.1</v>
      </c>
      <c r="V178" t="str">
        <f>IF(DraftData[[#This Row],[Pick]]&lt;=5,"Top 5",
IF(DraftData[[#This Row],[Pick]]&lt;=14,"Lottery",
IF(DraftData[[#This Row],[Pick]]&lt;=20,"Mid First","Late First")))</f>
        <v>Late First</v>
      </c>
      <c r="W178" t="str">
        <f>IF(DraftData[[#This Row],[Win Shares]]&gt;=80,"Star",
IF(DraftData[[#This Row],[Win Shares]]&gt;=30,"Starter",
IF(DraftData[[#This Row],[Win Shares]]&gt;=10,"Rotation","Minimal")))</f>
        <v>Minimal</v>
      </c>
      <c r="X178" t="str">
        <f>IF(AND(DraftData[[#This Row],[Pick]]&lt;=14,DraftData[[#This Row],[Win Shares]]&lt;10),"Yes","No")</f>
        <v>No</v>
      </c>
      <c r="Y178" s="2">
        <f>DraftData[[#This Row],[Win Shares]]/DraftData[[#This Row],[Pick]]</f>
        <v>0.23333333333333334</v>
      </c>
      <c r="Z178" s="2">
        <f>DraftData[[#This Row],[Win Shares]]-_xlfn.XLOOKUP(DraftData[[#This Row],[Pick]],'Lookup Tables'!$A$2:$A$31,'Lookup Tables'!$B$2:$B$31)</f>
        <v>-14.808333333333334</v>
      </c>
    </row>
    <row r="179" spans="1:26">
      <c r="A179">
        <v>2010</v>
      </c>
      <c r="B179">
        <v>28</v>
      </c>
      <c r="C179" t="s">
        <v>80</v>
      </c>
      <c r="D179" t="s">
        <v>306</v>
      </c>
      <c r="E179" t="s">
        <v>307</v>
      </c>
      <c r="F179">
        <v>401</v>
      </c>
      <c r="G179">
        <v>9520</v>
      </c>
      <c r="H179">
        <v>3591</v>
      </c>
      <c r="I179">
        <v>1021</v>
      </c>
      <c r="J179">
        <v>1935</v>
      </c>
      <c r="K179">
        <v>0.41799999999999998</v>
      </c>
      <c r="L179">
        <v>0.34899999999999998</v>
      </c>
      <c r="M179">
        <v>0.81699999999999995</v>
      </c>
      <c r="N179">
        <v>12.6</v>
      </c>
      <c r="O179">
        <v>6.4000000000000001E-2</v>
      </c>
      <c r="P179">
        <v>-1.2</v>
      </c>
      <c r="Q179">
        <v>1.8</v>
      </c>
      <c r="R179">
        <v>23.7</v>
      </c>
      <c r="S179">
        <v>9</v>
      </c>
      <c r="T179">
        <v>2.5</v>
      </c>
      <c r="U179">
        <v>4.8</v>
      </c>
      <c r="V179" t="str">
        <f>IF(DraftData[[#This Row],[Pick]]&lt;=5,"Top 5",
IF(DraftData[[#This Row],[Pick]]&lt;=14,"Lottery",
IF(DraftData[[#This Row],[Pick]]&lt;=20,"Mid First","Late First")))</f>
        <v>Late First</v>
      </c>
      <c r="W179" t="str">
        <f>IF(DraftData[[#This Row],[Win Shares]]&gt;=80,"Star",
IF(DraftData[[#This Row],[Win Shares]]&gt;=30,"Starter",
IF(DraftData[[#This Row],[Win Shares]]&gt;=10,"Rotation","Minimal")))</f>
        <v>Rotation</v>
      </c>
      <c r="X179" t="str">
        <f>IF(AND(DraftData[[#This Row],[Pick]]&lt;=14,DraftData[[#This Row],[Win Shares]]&lt;10),"Yes","No")</f>
        <v>No</v>
      </c>
      <c r="Y179" s="2">
        <f>DraftData[[#This Row],[Win Shares]]/DraftData[[#This Row],[Pick]]</f>
        <v>0.45</v>
      </c>
      <c r="Z179" s="2">
        <f>DraftData[[#This Row],[Win Shares]]-_xlfn.XLOOKUP(DraftData[[#This Row],[Pick]],'Lookup Tables'!$A$2:$A$31,'Lookup Tables'!$B$2:$B$31)</f>
        <v>3.9545454545454533</v>
      </c>
    </row>
    <row r="180" spans="1:26">
      <c r="A180">
        <v>2010</v>
      </c>
      <c r="B180">
        <v>29</v>
      </c>
      <c r="C180" t="s">
        <v>63</v>
      </c>
      <c r="D180" t="s">
        <v>308</v>
      </c>
      <c r="E180" t="s">
        <v>144</v>
      </c>
      <c r="F180">
        <v>51</v>
      </c>
      <c r="G180">
        <v>542</v>
      </c>
      <c r="H180">
        <v>143</v>
      </c>
      <c r="I180">
        <v>126</v>
      </c>
      <c r="J180">
        <v>24</v>
      </c>
      <c r="K180">
        <v>0.48499999999999999</v>
      </c>
      <c r="L180">
        <v>0</v>
      </c>
      <c r="M180">
        <v>0.59699999999999998</v>
      </c>
      <c r="N180">
        <v>1</v>
      </c>
      <c r="O180">
        <v>9.2999999999999999E-2</v>
      </c>
      <c r="P180">
        <v>-3.5</v>
      </c>
      <c r="Q180">
        <v>-0.2</v>
      </c>
      <c r="R180">
        <v>10.6</v>
      </c>
      <c r="S180">
        <v>2.8</v>
      </c>
      <c r="T180">
        <v>2.5</v>
      </c>
      <c r="U180">
        <v>0.5</v>
      </c>
      <c r="V180" t="str">
        <f>IF(DraftData[[#This Row],[Pick]]&lt;=5,"Top 5",
IF(DraftData[[#This Row],[Pick]]&lt;=14,"Lottery",
IF(DraftData[[#This Row],[Pick]]&lt;=20,"Mid First","Late First")))</f>
        <v>Late First</v>
      </c>
      <c r="W180" t="str">
        <f>IF(DraftData[[#This Row],[Win Shares]]&gt;=80,"Star",
IF(DraftData[[#This Row],[Win Shares]]&gt;=30,"Starter",
IF(DraftData[[#This Row],[Win Shares]]&gt;=10,"Rotation","Minimal")))</f>
        <v>Minimal</v>
      </c>
      <c r="X180" t="str">
        <f>IF(AND(DraftData[[#This Row],[Pick]]&lt;=14,DraftData[[#This Row],[Win Shares]]&lt;10),"Yes","No")</f>
        <v>No</v>
      </c>
      <c r="Y180" s="2">
        <f>DraftData[[#This Row],[Win Shares]]/DraftData[[#This Row],[Pick]]</f>
        <v>3.4482758620689655E-2</v>
      </c>
      <c r="Z180" s="2">
        <f>DraftData[[#This Row],[Win Shares]]-_xlfn.XLOOKUP(DraftData[[#This Row],[Pick]],'Lookup Tables'!$A$2:$A$31,'Lookup Tables'!$B$2:$B$31)</f>
        <v>-4.0666666666666673</v>
      </c>
    </row>
    <row r="181" spans="1:26">
      <c r="A181">
        <v>2010</v>
      </c>
      <c r="B181">
        <v>30</v>
      </c>
      <c r="C181" t="s">
        <v>137</v>
      </c>
      <c r="D181" t="s">
        <v>309</v>
      </c>
      <c r="E181" t="s">
        <v>310</v>
      </c>
      <c r="F181">
        <v>72</v>
      </c>
      <c r="G181">
        <v>591</v>
      </c>
      <c r="H181">
        <v>207</v>
      </c>
      <c r="I181">
        <v>90</v>
      </c>
      <c r="J181">
        <v>35</v>
      </c>
      <c r="K181">
        <v>0.34699999999999998</v>
      </c>
      <c r="L181">
        <v>0.26900000000000002</v>
      </c>
      <c r="M181">
        <v>0.76700000000000002</v>
      </c>
      <c r="N181">
        <v>0.2</v>
      </c>
      <c r="O181">
        <v>0.02</v>
      </c>
      <c r="P181">
        <v>-4.2</v>
      </c>
      <c r="Q181">
        <v>-0.3</v>
      </c>
      <c r="R181">
        <v>8.1999999999999993</v>
      </c>
      <c r="S181">
        <v>2.9</v>
      </c>
      <c r="T181">
        <v>1.3</v>
      </c>
      <c r="U181">
        <v>0.5</v>
      </c>
      <c r="V181" t="str">
        <f>IF(DraftData[[#This Row],[Pick]]&lt;=5,"Top 5",
IF(DraftData[[#This Row],[Pick]]&lt;=14,"Lottery",
IF(DraftData[[#This Row],[Pick]]&lt;=20,"Mid First","Late First")))</f>
        <v>Late First</v>
      </c>
      <c r="W181" t="str">
        <f>IF(DraftData[[#This Row],[Win Shares]]&gt;=80,"Star",
IF(DraftData[[#This Row],[Win Shares]]&gt;=30,"Starter",
IF(DraftData[[#This Row],[Win Shares]]&gt;=10,"Rotation","Minimal")))</f>
        <v>Minimal</v>
      </c>
      <c r="X181" t="str">
        <f>IF(AND(DraftData[[#This Row],[Pick]]&lt;=14,DraftData[[#This Row],[Win Shares]]&lt;10),"Yes","No")</f>
        <v>No</v>
      </c>
      <c r="Y181" s="2">
        <f>DraftData[[#This Row],[Win Shares]]/DraftData[[#This Row],[Pick]]</f>
        <v>6.6666666666666671E-3</v>
      </c>
      <c r="Z181" s="2">
        <f>DraftData[[#This Row],[Win Shares]]-_xlfn.XLOOKUP(DraftData[[#This Row],[Pick]],'Lookup Tables'!$A$2:$A$31,'Lookup Tables'!$B$2:$B$31)</f>
        <v>-20.518181818181816</v>
      </c>
    </row>
    <row r="182" spans="1:26">
      <c r="A182">
        <v>2011</v>
      </c>
      <c r="B182">
        <v>1</v>
      </c>
      <c r="C182" t="s">
        <v>148</v>
      </c>
      <c r="D182" t="s">
        <v>311</v>
      </c>
      <c r="E182" t="s">
        <v>119</v>
      </c>
      <c r="F182">
        <v>596</v>
      </c>
      <c r="G182">
        <v>20220</v>
      </c>
      <c r="H182">
        <v>13631</v>
      </c>
      <c r="I182">
        <v>2279</v>
      </c>
      <c r="J182">
        <v>3411</v>
      </c>
      <c r="K182">
        <v>0.46899999999999997</v>
      </c>
      <c r="L182">
        <v>0.39100000000000001</v>
      </c>
      <c r="M182">
        <v>0.88200000000000001</v>
      </c>
      <c r="N182">
        <v>69.8</v>
      </c>
      <c r="O182">
        <v>0.16600000000000001</v>
      </c>
      <c r="P182">
        <v>4.5</v>
      </c>
      <c r="Q182">
        <v>33.200000000000003</v>
      </c>
      <c r="R182">
        <v>33.9</v>
      </c>
      <c r="S182">
        <v>22.9</v>
      </c>
      <c r="T182">
        <v>3.8</v>
      </c>
      <c r="U182">
        <v>5.7</v>
      </c>
      <c r="V182" t="str">
        <f>IF(DraftData[[#This Row],[Pick]]&lt;=5,"Top 5",
IF(DraftData[[#This Row],[Pick]]&lt;=14,"Lottery",
IF(DraftData[[#This Row],[Pick]]&lt;=20,"Mid First","Late First")))</f>
        <v>Top 5</v>
      </c>
      <c r="W182" t="str">
        <f>IF(DraftData[[#This Row],[Win Shares]]&gt;=80,"Star",
IF(DraftData[[#This Row],[Win Shares]]&gt;=30,"Starter",
IF(DraftData[[#This Row],[Win Shares]]&gt;=10,"Rotation","Minimal")))</f>
        <v>Starter</v>
      </c>
      <c r="X182" t="str">
        <f>IF(AND(DraftData[[#This Row],[Pick]]&lt;=14,DraftData[[#This Row],[Win Shares]]&lt;10),"Yes","No")</f>
        <v>No</v>
      </c>
      <c r="Y182" s="2">
        <f>DraftData[[#This Row],[Win Shares]]/DraftData[[#This Row],[Pick]]</f>
        <v>69.8</v>
      </c>
      <c r="Z182" s="2">
        <f>DraftData[[#This Row],[Win Shares]]-_xlfn.XLOOKUP(DraftData[[#This Row],[Pick]],'Lookup Tables'!$A$2:$A$31,'Lookup Tables'!$B$2:$B$31)</f>
        <v>26.216666666666661</v>
      </c>
    </row>
    <row r="183" spans="1:26">
      <c r="A183">
        <v>2011</v>
      </c>
      <c r="B183">
        <v>2</v>
      </c>
      <c r="C183" t="s">
        <v>68</v>
      </c>
      <c r="D183" t="s">
        <v>312</v>
      </c>
      <c r="E183" t="s">
        <v>57</v>
      </c>
      <c r="F183">
        <v>428</v>
      </c>
      <c r="G183">
        <v>8864</v>
      </c>
      <c r="H183">
        <v>3809</v>
      </c>
      <c r="I183">
        <v>1693</v>
      </c>
      <c r="J183">
        <v>293</v>
      </c>
      <c r="K183">
        <v>0.434</v>
      </c>
      <c r="L183">
        <v>0.3</v>
      </c>
      <c r="M183">
        <v>0.71</v>
      </c>
      <c r="N183">
        <v>14.1</v>
      </c>
      <c r="O183">
        <v>7.5999999999999998E-2</v>
      </c>
      <c r="P183">
        <v>-1.6</v>
      </c>
      <c r="Q183">
        <v>0.8</v>
      </c>
      <c r="R183">
        <v>20.7</v>
      </c>
      <c r="S183">
        <v>8.9</v>
      </c>
      <c r="T183">
        <v>4</v>
      </c>
      <c r="U183">
        <v>0.7</v>
      </c>
      <c r="V183" t="str">
        <f>IF(DraftData[[#This Row],[Pick]]&lt;=5,"Top 5",
IF(DraftData[[#This Row],[Pick]]&lt;=14,"Lottery",
IF(DraftData[[#This Row],[Pick]]&lt;=20,"Mid First","Late First")))</f>
        <v>Top 5</v>
      </c>
      <c r="W183" t="str">
        <f>IF(DraftData[[#This Row],[Win Shares]]&gt;=80,"Star",
IF(DraftData[[#This Row],[Win Shares]]&gt;=30,"Starter",
IF(DraftData[[#This Row],[Win Shares]]&gt;=10,"Rotation","Minimal")))</f>
        <v>Rotation</v>
      </c>
      <c r="X183" t="str">
        <f>IF(AND(DraftData[[#This Row],[Pick]]&lt;=14,DraftData[[#This Row],[Win Shares]]&lt;10),"Yes","No")</f>
        <v>No</v>
      </c>
      <c r="Y183" s="2">
        <f>DraftData[[#This Row],[Win Shares]]/DraftData[[#This Row],[Pick]]</f>
        <v>7.05</v>
      </c>
      <c r="Z183" s="2">
        <f>DraftData[[#This Row],[Win Shares]]-_xlfn.XLOOKUP(DraftData[[#This Row],[Pick]],'Lookup Tables'!$A$2:$A$31,'Lookup Tables'!$B$2:$B$31)</f>
        <v>-25.691666666666663</v>
      </c>
    </row>
    <row r="184" spans="1:26">
      <c r="A184">
        <v>2011</v>
      </c>
      <c r="B184">
        <v>3</v>
      </c>
      <c r="C184" t="s">
        <v>42</v>
      </c>
      <c r="D184" t="s">
        <v>313</v>
      </c>
      <c r="F184">
        <v>748</v>
      </c>
      <c r="G184">
        <v>16101</v>
      </c>
      <c r="H184">
        <v>8349</v>
      </c>
      <c r="I184">
        <v>5822</v>
      </c>
      <c r="J184">
        <v>638</v>
      </c>
      <c r="K184">
        <v>0.54800000000000004</v>
      </c>
      <c r="L184">
        <v>0.28899999999999998</v>
      </c>
      <c r="M184">
        <v>0.77700000000000002</v>
      </c>
      <c r="N184">
        <v>52.8</v>
      </c>
      <c r="O184">
        <v>0.157</v>
      </c>
      <c r="P184">
        <v>-0.1</v>
      </c>
      <c r="Q184">
        <v>7.6</v>
      </c>
      <c r="R184">
        <v>21.5</v>
      </c>
      <c r="S184">
        <v>11.2</v>
      </c>
      <c r="T184">
        <v>7.8</v>
      </c>
      <c r="U184">
        <v>0.9</v>
      </c>
      <c r="V184" t="str">
        <f>IF(DraftData[[#This Row],[Pick]]&lt;=5,"Top 5",
IF(DraftData[[#This Row],[Pick]]&lt;=14,"Lottery",
IF(DraftData[[#This Row],[Pick]]&lt;=20,"Mid First","Late First")))</f>
        <v>Top 5</v>
      </c>
      <c r="W184" t="str">
        <f>IF(DraftData[[#This Row],[Win Shares]]&gt;=80,"Star",
IF(DraftData[[#This Row],[Win Shares]]&gt;=30,"Starter",
IF(DraftData[[#This Row],[Win Shares]]&gt;=10,"Rotation","Minimal")))</f>
        <v>Starter</v>
      </c>
      <c r="X184" t="str">
        <f>IF(AND(DraftData[[#This Row],[Pick]]&lt;=14,DraftData[[#This Row],[Win Shares]]&lt;10),"Yes","No")</f>
        <v>No</v>
      </c>
      <c r="Y184" s="2">
        <f>DraftData[[#This Row],[Win Shares]]/DraftData[[#This Row],[Pick]]</f>
        <v>17.599999999999998</v>
      </c>
      <c r="Z184" s="2">
        <f>DraftData[[#This Row],[Win Shares]]-_xlfn.XLOOKUP(DraftData[[#This Row],[Pick]],'Lookup Tables'!$A$2:$A$31,'Lookup Tables'!$B$2:$B$31)</f>
        <v>2.0333333333333243</v>
      </c>
    </row>
    <row r="185" spans="1:26">
      <c r="A185">
        <v>2011</v>
      </c>
      <c r="B185">
        <v>4</v>
      </c>
      <c r="C185" t="s">
        <v>148</v>
      </c>
      <c r="D185" t="s">
        <v>314</v>
      </c>
      <c r="E185" t="s">
        <v>113</v>
      </c>
      <c r="F185">
        <v>707</v>
      </c>
      <c r="G185">
        <v>19180</v>
      </c>
      <c r="H185">
        <v>6462</v>
      </c>
      <c r="I185">
        <v>6011</v>
      </c>
      <c r="J185">
        <v>711</v>
      </c>
      <c r="K185">
        <v>0.51800000000000002</v>
      </c>
      <c r="L185">
        <v>0.27800000000000002</v>
      </c>
      <c r="M185">
        <v>0.60599999999999998</v>
      </c>
      <c r="N185">
        <v>46.6</v>
      </c>
      <c r="O185">
        <v>0.11700000000000001</v>
      </c>
      <c r="P185">
        <v>-1.7</v>
      </c>
      <c r="Q185">
        <v>1.4</v>
      </c>
      <c r="R185">
        <v>27.1</v>
      </c>
      <c r="S185">
        <v>9.1</v>
      </c>
      <c r="T185">
        <v>8.5</v>
      </c>
      <c r="U185">
        <v>1</v>
      </c>
      <c r="V185" t="str">
        <f>IF(DraftData[[#This Row],[Pick]]&lt;=5,"Top 5",
IF(DraftData[[#This Row],[Pick]]&lt;=14,"Lottery",
IF(DraftData[[#This Row],[Pick]]&lt;=20,"Mid First","Late First")))</f>
        <v>Top 5</v>
      </c>
      <c r="W185" t="str">
        <f>IF(DraftData[[#This Row],[Win Shares]]&gt;=80,"Star",
IF(DraftData[[#This Row],[Win Shares]]&gt;=30,"Starter",
IF(DraftData[[#This Row],[Win Shares]]&gt;=10,"Rotation","Minimal")))</f>
        <v>Starter</v>
      </c>
      <c r="X185" t="str">
        <f>IF(AND(DraftData[[#This Row],[Pick]]&lt;=14,DraftData[[#This Row],[Win Shares]]&lt;10),"Yes","No")</f>
        <v>No</v>
      </c>
      <c r="Y185" s="2">
        <f>DraftData[[#This Row],[Win Shares]]/DraftData[[#This Row],[Pick]]</f>
        <v>11.65</v>
      </c>
      <c r="Z185" s="2">
        <f>DraftData[[#This Row],[Win Shares]]-_xlfn.XLOOKUP(DraftData[[#This Row],[Pick]],'Lookup Tables'!$A$2:$A$31,'Lookup Tables'!$B$2:$B$31)</f>
        <v>-1.9583333333333357</v>
      </c>
    </row>
    <row r="186" spans="1:26">
      <c r="A186">
        <v>2011</v>
      </c>
      <c r="B186">
        <v>5</v>
      </c>
      <c r="C186" t="s">
        <v>52</v>
      </c>
      <c r="D186" t="s">
        <v>315</v>
      </c>
      <c r="F186">
        <v>674</v>
      </c>
      <c r="G186">
        <v>17559</v>
      </c>
      <c r="H186">
        <v>8958</v>
      </c>
      <c r="I186">
        <v>6338</v>
      </c>
      <c r="J186">
        <v>771</v>
      </c>
      <c r="K186">
        <v>0.56299999999999994</v>
      </c>
      <c r="L186">
        <v>0.36599999999999999</v>
      </c>
      <c r="M186">
        <v>0.78400000000000003</v>
      </c>
      <c r="N186">
        <v>65.400000000000006</v>
      </c>
      <c r="O186">
        <v>0.17899999999999999</v>
      </c>
      <c r="P186">
        <v>1.1000000000000001</v>
      </c>
      <c r="Q186">
        <v>13.7</v>
      </c>
      <c r="R186">
        <v>26.1</v>
      </c>
      <c r="S186">
        <v>13.3</v>
      </c>
      <c r="T186">
        <v>9.4</v>
      </c>
      <c r="U186">
        <v>1.1000000000000001</v>
      </c>
      <c r="V186" t="str">
        <f>IF(DraftData[[#This Row],[Pick]]&lt;=5,"Top 5",
IF(DraftData[[#This Row],[Pick]]&lt;=14,"Lottery",
IF(DraftData[[#This Row],[Pick]]&lt;=20,"Mid First","Late First")))</f>
        <v>Top 5</v>
      </c>
      <c r="W186" t="str">
        <f>IF(DraftData[[#This Row],[Win Shares]]&gt;=80,"Star",
IF(DraftData[[#This Row],[Win Shares]]&gt;=30,"Starter",
IF(DraftData[[#This Row],[Win Shares]]&gt;=10,"Rotation","Minimal")))</f>
        <v>Starter</v>
      </c>
      <c r="X186" t="str">
        <f>IF(AND(DraftData[[#This Row],[Pick]]&lt;=14,DraftData[[#This Row],[Win Shares]]&lt;10),"Yes","No")</f>
        <v>No</v>
      </c>
      <c r="Y186" s="2">
        <f>DraftData[[#This Row],[Win Shares]]/DraftData[[#This Row],[Pick]]</f>
        <v>13.080000000000002</v>
      </c>
      <c r="Z186" s="2">
        <f>DraftData[[#This Row],[Win Shares]]-_xlfn.XLOOKUP(DraftData[[#This Row],[Pick]],'Lookup Tables'!$A$2:$A$31,'Lookup Tables'!$B$2:$B$31)</f>
        <v>34.041666666666671</v>
      </c>
    </row>
    <row r="187" spans="1:26">
      <c r="A187">
        <v>2011</v>
      </c>
      <c r="B187">
        <v>6</v>
      </c>
      <c r="C187" t="s">
        <v>137</v>
      </c>
      <c r="D187" t="s">
        <v>316</v>
      </c>
      <c r="F187">
        <v>162</v>
      </c>
      <c r="G187">
        <v>2455</v>
      </c>
      <c r="H187">
        <v>590</v>
      </c>
      <c r="I187">
        <v>562</v>
      </c>
      <c r="J187">
        <v>96</v>
      </c>
      <c r="K187">
        <v>0.52100000000000002</v>
      </c>
      <c r="L187">
        <v>0</v>
      </c>
      <c r="M187">
        <v>0.40799999999999997</v>
      </c>
      <c r="N187">
        <v>4</v>
      </c>
      <c r="O187">
        <v>7.8E-2</v>
      </c>
      <c r="P187">
        <v>-2.6</v>
      </c>
      <c r="Q187">
        <v>-0.4</v>
      </c>
      <c r="R187">
        <v>15.2</v>
      </c>
      <c r="S187">
        <v>3.6</v>
      </c>
      <c r="T187">
        <v>3.5</v>
      </c>
      <c r="U187">
        <v>0.6</v>
      </c>
      <c r="V187" t="str">
        <f>IF(DraftData[[#This Row],[Pick]]&lt;=5,"Top 5",
IF(DraftData[[#This Row],[Pick]]&lt;=14,"Lottery",
IF(DraftData[[#This Row],[Pick]]&lt;=20,"Mid First","Late First")))</f>
        <v>Lottery</v>
      </c>
      <c r="W187" t="str">
        <f>IF(DraftData[[#This Row],[Win Shares]]&gt;=80,"Star",
IF(DraftData[[#This Row],[Win Shares]]&gt;=30,"Starter",
IF(DraftData[[#This Row],[Win Shares]]&gt;=10,"Rotation","Minimal")))</f>
        <v>Minimal</v>
      </c>
      <c r="X187" t="str">
        <f>IF(AND(DraftData[[#This Row],[Pick]]&lt;=14,DraftData[[#This Row],[Win Shares]]&lt;10),"Yes","No")</f>
        <v>Yes</v>
      </c>
      <c r="Y187" s="2">
        <f>DraftData[[#This Row],[Win Shares]]/DraftData[[#This Row],[Pick]]</f>
        <v>0.66666666666666663</v>
      </c>
      <c r="Z187" s="2">
        <f>DraftData[[#This Row],[Win Shares]]-_xlfn.XLOOKUP(DraftData[[#This Row],[Pick]],'Lookup Tables'!$A$2:$A$31,'Lookup Tables'!$B$2:$B$31)</f>
        <v>-23.658333333333335</v>
      </c>
    </row>
    <row r="188" spans="1:26">
      <c r="A188">
        <v>2011</v>
      </c>
      <c r="B188">
        <v>7</v>
      </c>
      <c r="C188" t="s">
        <v>91</v>
      </c>
      <c r="D188" t="s">
        <v>317</v>
      </c>
      <c r="F188">
        <v>719</v>
      </c>
      <c r="G188">
        <v>14521</v>
      </c>
      <c r="H188">
        <v>3749</v>
      </c>
      <c r="I188">
        <v>4423</v>
      </c>
      <c r="J188">
        <v>433</v>
      </c>
      <c r="K188">
        <v>0.53</v>
      </c>
      <c r="L188">
        <v>0</v>
      </c>
      <c r="M188">
        <v>0.56499999999999995</v>
      </c>
      <c r="N188">
        <v>29</v>
      </c>
      <c r="O188">
        <v>9.6000000000000002E-2</v>
      </c>
      <c r="P188">
        <v>-2.6</v>
      </c>
      <c r="Q188">
        <v>-2.1</v>
      </c>
      <c r="R188">
        <v>20.2</v>
      </c>
      <c r="S188">
        <v>5.2</v>
      </c>
      <c r="T188">
        <v>6.2</v>
      </c>
      <c r="U188">
        <v>0.6</v>
      </c>
      <c r="V188" t="str">
        <f>IF(DraftData[[#This Row],[Pick]]&lt;=5,"Top 5",
IF(DraftData[[#This Row],[Pick]]&lt;=14,"Lottery",
IF(DraftData[[#This Row],[Pick]]&lt;=20,"Mid First","Late First")))</f>
        <v>Lottery</v>
      </c>
      <c r="W188" t="str">
        <f>IF(DraftData[[#This Row],[Win Shares]]&gt;=80,"Star",
IF(DraftData[[#This Row],[Win Shares]]&gt;=30,"Starter",
IF(DraftData[[#This Row],[Win Shares]]&gt;=10,"Rotation","Minimal")))</f>
        <v>Rotation</v>
      </c>
      <c r="X188" t="str">
        <f>IF(AND(DraftData[[#This Row],[Pick]]&lt;=14,DraftData[[#This Row],[Win Shares]]&lt;10),"Yes","No")</f>
        <v>No</v>
      </c>
      <c r="Y188" s="2">
        <f>DraftData[[#This Row],[Win Shares]]/DraftData[[#This Row],[Pick]]</f>
        <v>4.1428571428571432</v>
      </c>
      <c r="Z188" s="2">
        <f>DraftData[[#This Row],[Win Shares]]-_xlfn.XLOOKUP(DraftData[[#This Row],[Pick]],'Lookup Tables'!$A$2:$A$31,'Lookup Tables'!$B$2:$B$31)</f>
        <v>-4.9750000000000085</v>
      </c>
    </row>
    <row r="189" spans="1:26">
      <c r="A189">
        <v>2011</v>
      </c>
      <c r="B189">
        <v>8</v>
      </c>
      <c r="C189" t="s">
        <v>98</v>
      </c>
      <c r="D189" t="s">
        <v>318</v>
      </c>
      <c r="E189" t="s">
        <v>144</v>
      </c>
      <c r="F189">
        <v>449</v>
      </c>
      <c r="G189">
        <v>13191</v>
      </c>
      <c r="H189">
        <v>6299</v>
      </c>
      <c r="I189">
        <v>1384</v>
      </c>
      <c r="J189">
        <v>1777</v>
      </c>
      <c r="K189">
        <v>0.41099999999999998</v>
      </c>
      <c r="L189">
        <v>0.35299999999999998</v>
      </c>
      <c r="M189">
        <v>0.80700000000000005</v>
      </c>
      <c r="N189">
        <v>11.7</v>
      </c>
      <c r="O189">
        <v>4.2999999999999997E-2</v>
      </c>
      <c r="P189">
        <v>-1.6</v>
      </c>
      <c r="Q189">
        <v>1.5</v>
      </c>
      <c r="R189">
        <v>29.4</v>
      </c>
      <c r="S189">
        <v>14</v>
      </c>
      <c r="T189">
        <v>3.1</v>
      </c>
      <c r="U189">
        <v>4</v>
      </c>
      <c r="V189" t="str">
        <f>IF(DraftData[[#This Row],[Pick]]&lt;=5,"Top 5",
IF(DraftData[[#This Row],[Pick]]&lt;=14,"Lottery",
IF(DraftData[[#This Row],[Pick]]&lt;=20,"Mid First","Late First")))</f>
        <v>Lottery</v>
      </c>
      <c r="W189" t="str">
        <f>IF(DraftData[[#This Row],[Win Shares]]&gt;=80,"Star",
IF(DraftData[[#This Row],[Win Shares]]&gt;=30,"Starter",
IF(DraftData[[#This Row],[Win Shares]]&gt;=10,"Rotation","Minimal")))</f>
        <v>Rotation</v>
      </c>
      <c r="X189" t="str">
        <f>IF(AND(DraftData[[#This Row],[Pick]]&lt;=14,DraftData[[#This Row],[Win Shares]]&lt;10),"Yes","No")</f>
        <v>No</v>
      </c>
      <c r="Y189" s="2">
        <f>DraftData[[#This Row],[Win Shares]]/DraftData[[#This Row],[Pick]]</f>
        <v>1.4624999999999999</v>
      </c>
      <c r="Z189" s="2">
        <f>DraftData[[#This Row],[Win Shares]]-_xlfn.XLOOKUP(DraftData[[#This Row],[Pick]],'Lookup Tables'!$A$2:$A$31,'Lookup Tables'!$B$2:$B$31)</f>
        <v>-9.4583333333333321</v>
      </c>
    </row>
    <row r="190" spans="1:26">
      <c r="A190">
        <v>2011</v>
      </c>
      <c r="B190">
        <v>9</v>
      </c>
      <c r="C190" t="s">
        <v>48</v>
      </c>
      <c r="D190" t="s">
        <v>319</v>
      </c>
      <c r="E190" t="s">
        <v>54</v>
      </c>
      <c r="F190">
        <v>741</v>
      </c>
      <c r="G190">
        <v>24666</v>
      </c>
      <c r="H190">
        <v>14414</v>
      </c>
      <c r="I190">
        <v>2815</v>
      </c>
      <c r="J190">
        <v>3919</v>
      </c>
      <c r="K190">
        <v>0.41799999999999998</v>
      </c>
      <c r="L190">
        <v>0.36</v>
      </c>
      <c r="M190">
        <v>0.84</v>
      </c>
      <c r="N190">
        <v>59.5</v>
      </c>
      <c r="O190">
        <v>0.11600000000000001</v>
      </c>
      <c r="P190">
        <v>2.8</v>
      </c>
      <c r="Q190">
        <v>29.7</v>
      </c>
      <c r="R190">
        <v>33.299999999999997</v>
      </c>
      <c r="S190">
        <v>19.5</v>
      </c>
      <c r="T190">
        <v>3.8</v>
      </c>
      <c r="U190">
        <v>5.3</v>
      </c>
      <c r="V190" t="str">
        <f>IF(DraftData[[#This Row],[Pick]]&lt;=5,"Top 5",
IF(DraftData[[#This Row],[Pick]]&lt;=14,"Lottery",
IF(DraftData[[#This Row],[Pick]]&lt;=20,"Mid First","Late First")))</f>
        <v>Lottery</v>
      </c>
      <c r="W190" t="str">
        <f>IF(DraftData[[#This Row],[Win Shares]]&gt;=80,"Star",
IF(DraftData[[#This Row],[Win Shares]]&gt;=30,"Starter",
IF(DraftData[[#This Row],[Win Shares]]&gt;=10,"Rotation","Minimal")))</f>
        <v>Starter</v>
      </c>
      <c r="X190" t="str">
        <f>IF(AND(DraftData[[#This Row],[Pick]]&lt;=14,DraftData[[#This Row],[Win Shares]]&lt;10),"Yes","No")</f>
        <v>No</v>
      </c>
      <c r="Y190" s="2">
        <f>DraftData[[#This Row],[Win Shares]]/DraftData[[#This Row],[Pick]]</f>
        <v>6.6111111111111107</v>
      </c>
      <c r="Z190" s="2">
        <f>DraftData[[#This Row],[Win Shares]]-_xlfn.XLOOKUP(DraftData[[#This Row],[Pick]],'Lookup Tables'!$A$2:$A$31,'Lookup Tables'!$B$2:$B$31)</f>
        <v>22.108333333333334</v>
      </c>
    </row>
    <row r="191" spans="1:26">
      <c r="A191">
        <v>2011</v>
      </c>
      <c r="B191">
        <v>10</v>
      </c>
      <c r="C191" t="s">
        <v>36</v>
      </c>
      <c r="D191" t="s">
        <v>320</v>
      </c>
      <c r="E191" t="s">
        <v>321</v>
      </c>
      <c r="F191">
        <v>241</v>
      </c>
      <c r="G191">
        <v>3213</v>
      </c>
      <c r="H191">
        <v>1438</v>
      </c>
      <c r="I191">
        <v>243</v>
      </c>
      <c r="J191">
        <v>331</v>
      </c>
      <c r="K191">
        <v>0.40899999999999997</v>
      </c>
      <c r="L191">
        <v>0.372</v>
      </c>
      <c r="M191">
        <v>0.879</v>
      </c>
      <c r="N191">
        <v>2.2000000000000002</v>
      </c>
      <c r="O191">
        <v>3.3000000000000002E-2</v>
      </c>
      <c r="P191">
        <v>-2.5</v>
      </c>
      <c r="Q191">
        <v>-0.4</v>
      </c>
      <c r="R191">
        <v>13.3</v>
      </c>
      <c r="S191">
        <v>6</v>
      </c>
      <c r="T191">
        <v>1</v>
      </c>
      <c r="U191">
        <v>1.4</v>
      </c>
      <c r="V191" t="str">
        <f>IF(DraftData[[#This Row],[Pick]]&lt;=5,"Top 5",
IF(DraftData[[#This Row],[Pick]]&lt;=14,"Lottery",
IF(DraftData[[#This Row],[Pick]]&lt;=20,"Mid First","Late First")))</f>
        <v>Lottery</v>
      </c>
      <c r="W191" t="str">
        <f>IF(DraftData[[#This Row],[Win Shares]]&gt;=80,"Star",
IF(DraftData[[#This Row],[Win Shares]]&gt;=30,"Starter",
IF(DraftData[[#This Row],[Win Shares]]&gt;=10,"Rotation","Minimal")))</f>
        <v>Minimal</v>
      </c>
      <c r="X191" t="str">
        <f>IF(AND(DraftData[[#This Row],[Pick]]&lt;=14,DraftData[[#This Row],[Win Shares]]&lt;10),"Yes","No")</f>
        <v>Yes</v>
      </c>
      <c r="Y191" s="2">
        <f>DraftData[[#This Row],[Win Shares]]/DraftData[[#This Row],[Pick]]</f>
        <v>0.22000000000000003</v>
      </c>
      <c r="Z191" s="2">
        <f>DraftData[[#This Row],[Win Shares]]-_xlfn.XLOOKUP(DraftData[[#This Row],[Pick]],'Lookup Tables'!$A$2:$A$31,'Lookup Tables'!$B$2:$B$31)</f>
        <v>-24.65</v>
      </c>
    </row>
    <row r="192" spans="1:26">
      <c r="A192">
        <v>2011</v>
      </c>
      <c r="B192">
        <v>11</v>
      </c>
      <c r="C192" t="s">
        <v>58</v>
      </c>
      <c r="D192" t="s">
        <v>322</v>
      </c>
      <c r="E192" t="s">
        <v>323</v>
      </c>
      <c r="F192">
        <v>631</v>
      </c>
      <c r="G192">
        <v>20744</v>
      </c>
      <c r="H192">
        <v>12268</v>
      </c>
      <c r="I192">
        <v>2190</v>
      </c>
      <c r="J192">
        <v>1465</v>
      </c>
      <c r="K192">
        <v>0.45800000000000002</v>
      </c>
      <c r="L192">
        <v>0.41799999999999998</v>
      </c>
      <c r="M192">
        <v>0.84899999999999998</v>
      </c>
      <c r="N192">
        <v>47.8</v>
      </c>
      <c r="O192">
        <v>0.11</v>
      </c>
      <c r="P192">
        <v>0.8</v>
      </c>
      <c r="Q192">
        <v>14.6</v>
      </c>
      <c r="R192">
        <v>32.9</v>
      </c>
      <c r="S192">
        <v>19.399999999999999</v>
      </c>
      <c r="T192">
        <v>3.5</v>
      </c>
      <c r="U192">
        <v>2.2999999999999998</v>
      </c>
      <c r="V192" t="str">
        <f>IF(DraftData[[#This Row],[Pick]]&lt;=5,"Top 5",
IF(DraftData[[#This Row],[Pick]]&lt;=14,"Lottery",
IF(DraftData[[#This Row],[Pick]]&lt;=20,"Mid First","Late First")))</f>
        <v>Lottery</v>
      </c>
      <c r="W192" t="str">
        <f>IF(DraftData[[#This Row],[Win Shares]]&gt;=80,"Star",
IF(DraftData[[#This Row],[Win Shares]]&gt;=30,"Starter",
IF(DraftData[[#This Row],[Win Shares]]&gt;=10,"Rotation","Minimal")))</f>
        <v>Starter</v>
      </c>
      <c r="X192" t="str">
        <f>IF(AND(DraftData[[#This Row],[Pick]]&lt;=14,DraftData[[#This Row],[Win Shares]]&lt;10),"Yes","No")</f>
        <v>No</v>
      </c>
      <c r="Y192" s="2">
        <f>DraftData[[#This Row],[Win Shares]]/DraftData[[#This Row],[Pick]]</f>
        <v>4.3454545454545448</v>
      </c>
      <c r="Z192" s="2">
        <f>DraftData[[#This Row],[Win Shares]]-_xlfn.XLOOKUP(DraftData[[#This Row],[Pick]],'Lookup Tables'!$A$2:$A$31,'Lookup Tables'!$B$2:$B$31)</f>
        <v>25.099999999999998</v>
      </c>
    </row>
    <row r="193" spans="1:26">
      <c r="A193">
        <v>2011</v>
      </c>
      <c r="B193">
        <v>12</v>
      </c>
      <c r="C193" t="s">
        <v>42</v>
      </c>
      <c r="D193" t="s">
        <v>324</v>
      </c>
      <c r="E193" t="s">
        <v>325</v>
      </c>
      <c r="F193">
        <v>602</v>
      </c>
      <c r="G193">
        <v>13605</v>
      </c>
      <c r="H193">
        <v>6339</v>
      </c>
      <c r="I193">
        <v>2068</v>
      </c>
      <c r="J193">
        <v>1179</v>
      </c>
      <c r="K193">
        <v>0.41799999999999998</v>
      </c>
      <c r="L193">
        <v>0.375</v>
      </c>
      <c r="M193">
        <v>0.79900000000000004</v>
      </c>
      <c r="N193">
        <v>23.9</v>
      </c>
      <c r="O193">
        <v>8.4000000000000005E-2</v>
      </c>
      <c r="P193">
        <v>-0.7</v>
      </c>
      <c r="Q193">
        <v>4.5999999999999996</v>
      </c>
      <c r="R193">
        <v>22.6</v>
      </c>
      <c r="S193">
        <v>10.5</v>
      </c>
      <c r="T193">
        <v>3.4</v>
      </c>
      <c r="U193">
        <v>2</v>
      </c>
      <c r="V193" t="str">
        <f>IF(DraftData[[#This Row],[Pick]]&lt;=5,"Top 5",
IF(DraftData[[#This Row],[Pick]]&lt;=14,"Lottery",
IF(DraftData[[#This Row],[Pick]]&lt;=20,"Mid First","Late First")))</f>
        <v>Lottery</v>
      </c>
      <c r="W193" t="str">
        <f>IF(DraftData[[#This Row],[Win Shares]]&gt;=80,"Star",
IF(DraftData[[#This Row],[Win Shares]]&gt;=30,"Starter",
IF(DraftData[[#This Row],[Win Shares]]&gt;=10,"Rotation","Minimal")))</f>
        <v>Rotation</v>
      </c>
      <c r="X193" t="str">
        <f>IF(AND(DraftData[[#This Row],[Pick]]&lt;=14,DraftData[[#This Row],[Win Shares]]&lt;10),"Yes","No")</f>
        <v>No</v>
      </c>
      <c r="Y193" s="2">
        <f>DraftData[[#This Row],[Win Shares]]/DraftData[[#This Row],[Pick]]</f>
        <v>1.9916666666666665</v>
      </c>
      <c r="Z193" s="2">
        <f>DraftData[[#This Row],[Win Shares]]-_xlfn.XLOOKUP(DraftData[[#This Row],[Pick]],'Lookup Tables'!$A$2:$A$31,'Lookup Tables'!$B$2:$B$31)</f>
        <v>2.5833333333333321</v>
      </c>
    </row>
    <row r="194" spans="1:26">
      <c r="A194">
        <v>2011</v>
      </c>
      <c r="B194">
        <v>13</v>
      </c>
      <c r="C194" t="s">
        <v>86</v>
      </c>
      <c r="D194" t="s">
        <v>326</v>
      </c>
      <c r="E194" t="s">
        <v>107</v>
      </c>
      <c r="F194">
        <v>708</v>
      </c>
      <c r="G194">
        <v>17613</v>
      </c>
      <c r="H194">
        <v>7770</v>
      </c>
      <c r="I194">
        <v>3697</v>
      </c>
      <c r="J194">
        <v>1144</v>
      </c>
      <c r="K194">
        <v>0.44600000000000001</v>
      </c>
      <c r="L194">
        <v>0.34100000000000003</v>
      </c>
      <c r="M194">
        <v>0.77700000000000002</v>
      </c>
      <c r="N194">
        <v>27</v>
      </c>
      <c r="O194">
        <v>7.2999999999999995E-2</v>
      </c>
      <c r="P194">
        <v>-1.4</v>
      </c>
      <c r="Q194">
        <v>2.8</v>
      </c>
      <c r="R194">
        <v>24.9</v>
      </c>
      <c r="S194">
        <v>11</v>
      </c>
      <c r="T194">
        <v>5.2</v>
      </c>
      <c r="U194">
        <v>1.6</v>
      </c>
      <c r="V194" t="str">
        <f>IF(DraftData[[#This Row],[Pick]]&lt;=5,"Top 5",
IF(DraftData[[#This Row],[Pick]]&lt;=14,"Lottery",
IF(DraftData[[#This Row],[Pick]]&lt;=20,"Mid First","Late First")))</f>
        <v>Lottery</v>
      </c>
      <c r="W194" t="str">
        <f>IF(DraftData[[#This Row],[Win Shares]]&gt;=80,"Star",
IF(DraftData[[#This Row],[Win Shares]]&gt;=30,"Starter",
IF(DraftData[[#This Row],[Win Shares]]&gt;=10,"Rotation","Minimal")))</f>
        <v>Rotation</v>
      </c>
      <c r="X194" t="str">
        <f>IF(AND(DraftData[[#This Row],[Pick]]&lt;=14,DraftData[[#This Row],[Win Shares]]&lt;10),"Yes","No")</f>
        <v>No</v>
      </c>
      <c r="Y194" s="2">
        <f>DraftData[[#This Row],[Win Shares]]/DraftData[[#This Row],[Pick]]</f>
        <v>2.0769230769230771</v>
      </c>
      <c r="Z194" s="2">
        <f>DraftData[[#This Row],[Win Shares]]-_xlfn.XLOOKUP(DraftData[[#This Row],[Pick]],'Lookup Tables'!$A$2:$A$31,'Lookup Tables'!$B$2:$B$31)</f>
        <v>7.6666666666666679</v>
      </c>
    </row>
    <row r="195" spans="1:26">
      <c r="A195">
        <v>2011</v>
      </c>
      <c r="B195">
        <v>14</v>
      </c>
      <c r="C195" t="s">
        <v>94</v>
      </c>
      <c r="D195" t="s">
        <v>327</v>
      </c>
      <c r="E195" t="s">
        <v>107</v>
      </c>
      <c r="F195">
        <v>700</v>
      </c>
      <c r="G195">
        <v>18965</v>
      </c>
      <c r="H195">
        <v>8674</v>
      </c>
      <c r="I195">
        <v>3232</v>
      </c>
      <c r="J195">
        <v>1050</v>
      </c>
      <c r="K195">
        <v>0.436</v>
      </c>
      <c r="L195">
        <v>0.379</v>
      </c>
      <c r="M195">
        <v>0.76800000000000002</v>
      </c>
      <c r="N195">
        <v>35.9</v>
      </c>
      <c r="O195">
        <v>9.0999999999999998E-2</v>
      </c>
      <c r="P195">
        <v>-0.5</v>
      </c>
      <c r="Q195">
        <v>7.2</v>
      </c>
      <c r="R195">
        <v>27.1</v>
      </c>
      <c r="S195">
        <v>12.4</v>
      </c>
      <c r="T195">
        <v>4.5999999999999996</v>
      </c>
      <c r="U195">
        <v>1.5</v>
      </c>
      <c r="V195" t="str">
        <f>IF(DraftData[[#This Row],[Pick]]&lt;=5,"Top 5",
IF(DraftData[[#This Row],[Pick]]&lt;=14,"Lottery",
IF(DraftData[[#This Row],[Pick]]&lt;=20,"Mid First","Late First")))</f>
        <v>Lottery</v>
      </c>
      <c r="W195" t="str">
        <f>IF(DraftData[[#This Row],[Win Shares]]&gt;=80,"Star",
IF(DraftData[[#This Row],[Win Shares]]&gt;=30,"Starter",
IF(DraftData[[#This Row],[Win Shares]]&gt;=10,"Rotation","Minimal")))</f>
        <v>Starter</v>
      </c>
      <c r="X195" t="str">
        <f>IF(AND(DraftData[[#This Row],[Pick]]&lt;=14,DraftData[[#This Row],[Win Shares]]&lt;10),"Yes","No")</f>
        <v>No</v>
      </c>
      <c r="Y195" s="2">
        <f>DraftData[[#This Row],[Win Shares]]/DraftData[[#This Row],[Pick]]</f>
        <v>2.5642857142857141</v>
      </c>
      <c r="Z195" s="2">
        <f>DraftData[[#This Row],[Win Shares]]-_xlfn.XLOOKUP(DraftData[[#This Row],[Pick]],'Lookup Tables'!$A$2:$A$31,'Lookup Tables'!$B$2:$B$31)</f>
        <v>21.15</v>
      </c>
    </row>
    <row r="196" spans="1:26">
      <c r="A196">
        <v>2011</v>
      </c>
      <c r="B196">
        <v>15</v>
      </c>
      <c r="C196" t="s">
        <v>75</v>
      </c>
      <c r="D196" t="s">
        <v>328</v>
      </c>
      <c r="E196" t="s">
        <v>329</v>
      </c>
      <c r="F196">
        <v>576</v>
      </c>
      <c r="G196">
        <v>18025</v>
      </c>
      <c r="H196">
        <v>11085</v>
      </c>
      <c r="I196">
        <v>3689</v>
      </c>
      <c r="J196">
        <v>1672</v>
      </c>
      <c r="K196">
        <v>0.49299999999999999</v>
      </c>
      <c r="L196">
        <v>0.38400000000000001</v>
      </c>
      <c r="M196">
        <v>0.85799999999999998</v>
      </c>
      <c r="N196">
        <v>83.3</v>
      </c>
      <c r="O196">
        <v>0.222</v>
      </c>
      <c r="P196">
        <v>6.9</v>
      </c>
      <c r="Q196">
        <v>40.4</v>
      </c>
      <c r="R196">
        <v>31.3</v>
      </c>
      <c r="S196">
        <v>19.2</v>
      </c>
      <c r="T196">
        <v>6.4</v>
      </c>
      <c r="U196">
        <v>2.9</v>
      </c>
      <c r="V196" t="str">
        <f>IF(DraftData[[#This Row],[Pick]]&lt;=5,"Top 5",
IF(DraftData[[#This Row],[Pick]]&lt;=14,"Lottery",
IF(DraftData[[#This Row],[Pick]]&lt;=20,"Mid First","Late First")))</f>
        <v>Mid First</v>
      </c>
      <c r="W196" t="str">
        <f>IF(DraftData[[#This Row],[Win Shares]]&gt;=80,"Star",
IF(DraftData[[#This Row],[Win Shares]]&gt;=30,"Starter",
IF(DraftData[[#This Row],[Win Shares]]&gt;=10,"Rotation","Minimal")))</f>
        <v>Star</v>
      </c>
      <c r="X196" t="str">
        <f>IF(AND(DraftData[[#This Row],[Pick]]&lt;=14,DraftData[[#This Row],[Win Shares]]&lt;10),"Yes","No")</f>
        <v>No</v>
      </c>
      <c r="Y196" s="2">
        <f>DraftData[[#This Row],[Win Shares]]/DraftData[[#This Row],[Pick]]</f>
        <v>5.5533333333333328</v>
      </c>
      <c r="Z196" s="2">
        <f>DraftData[[#This Row],[Win Shares]]-_xlfn.XLOOKUP(DraftData[[#This Row],[Pick]],'Lookup Tables'!$A$2:$A$31,'Lookup Tables'!$B$2:$B$31)</f>
        <v>57.516666666666666</v>
      </c>
    </row>
    <row r="197" spans="1:26">
      <c r="A197">
        <v>2011</v>
      </c>
      <c r="B197">
        <v>16</v>
      </c>
      <c r="C197" t="s">
        <v>129</v>
      </c>
      <c r="D197" t="s">
        <v>330</v>
      </c>
      <c r="E197" t="s">
        <v>179</v>
      </c>
      <c r="F197">
        <v>720</v>
      </c>
      <c r="G197">
        <v>22214</v>
      </c>
      <c r="H197">
        <v>12210</v>
      </c>
      <c r="I197">
        <v>7536</v>
      </c>
      <c r="J197">
        <v>1990</v>
      </c>
      <c r="K197">
        <v>0.49399999999999999</v>
      </c>
      <c r="L197">
        <v>0.35099999999999998</v>
      </c>
      <c r="M197">
        <v>0.75600000000000001</v>
      </c>
      <c r="N197">
        <v>58.5</v>
      </c>
      <c r="O197">
        <v>0.126</v>
      </c>
      <c r="P197">
        <v>2.2999999999999998</v>
      </c>
      <c r="Q197">
        <v>24.2</v>
      </c>
      <c r="R197">
        <v>30.9</v>
      </c>
      <c r="S197">
        <v>17</v>
      </c>
      <c r="T197">
        <v>10.5</v>
      </c>
      <c r="U197">
        <v>2.8</v>
      </c>
      <c r="V197" t="str">
        <f>IF(DraftData[[#This Row],[Pick]]&lt;=5,"Top 5",
IF(DraftData[[#This Row],[Pick]]&lt;=14,"Lottery",
IF(DraftData[[#This Row],[Pick]]&lt;=20,"Mid First","Late First")))</f>
        <v>Mid First</v>
      </c>
      <c r="W197" t="str">
        <f>IF(DraftData[[#This Row],[Win Shares]]&gt;=80,"Star",
IF(DraftData[[#This Row],[Win Shares]]&gt;=30,"Starter",
IF(DraftData[[#This Row],[Win Shares]]&gt;=10,"Rotation","Minimal")))</f>
        <v>Starter</v>
      </c>
      <c r="X197" t="str">
        <f>IF(AND(DraftData[[#This Row],[Pick]]&lt;=14,DraftData[[#This Row],[Win Shares]]&lt;10),"Yes","No")</f>
        <v>No</v>
      </c>
      <c r="Y197" s="2">
        <f>DraftData[[#This Row],[Win Shares]]/DraftData[[#This Row],[Pick]]</f>
        <v>3.65625</v>
      </c>
      <c r="Z197" s="2">
        <f>DraftData[[#This Row],[Win Shares]]-_xlfn.XLOOKUP(DraftData[[#This Row],[Pick]],'Lookup Tables'!$A$2:$A$31,'Lookup Tables'!$B$2:$B$31)</f>
        <v>41.516666666666666</v>
      </c>
    </row>
    <row r="198" spans="1:26">
      <c r="A198">
        <v>2011</v>
      </c>
      <c r="B198">
        <v>17</v>
      </c>
      <c r="C198" t="s">
        <v>55</v>
      </c>
      <c r="D198" t="s">
        <v>331</v>
      </c>
      <c r="E198" t="s">
        <v>90</v>
      </c>
      <c r="F198">
        <v>461</v>
      </c>
      <c r="G198">
        <v>11470</v>
      </c>
      <c r="H198">
        <v>3320</v>
      </c>
      <c r="I198">
        <v>1534</v>
      </c>
      <c r="J198">
        <v>845</v>
      </c>
      <c r="K198">
        <v>0.39100000000000001</v>
      </c>
      <c r="L198">
        <v>0.33700000000000002</v>
      </c>
      <c r="M198">
        <v>0.76400000000000001</v>
      </c>
      <c r="N198">
        <v>12.9</v>
      </c>
      <c r="O198">
        <v>5.3999999999999999E-2</v>
      </c>
      <c r="P198">
        <v>-1.7</v>
      </c>
      <c r="Q198">
        <v>0.9</v>
      </c>
      <c r="R198">
        <v>24.9</v>
      </c>
      <c r="S198">
        <v>7.2</v>
      </c>
      <c r="T198">
        <v>3.3</v>
      </c>
      <c r="U198">
        <v>1.8</v>
      </c>
      <c r="V198" t="str">
        <f>IF(DraftData[[#This Row],[Pick]]&lt;=5,"Top 5",
IF(DraftData[[#This Row],[Pick]]&lt;=14,"Lottery",
IF(DraftData[[#This Row],[Pick]]&lt;=20,"Mid First","Late First")))</f>
        <v>Mid First</v>
      </c>
      <c r="W198" t="str">
        <f>IF(DraftData[[#This Row],[Win Shares]]&gt;=80,"Star",
IF(DraftData[[#This Row],[Win Shares]]&gt;=30,"Starter",
IF(DraftData[[#This Row],[Win Shares]]&gt;=10,"Rotation","Minimal")))</f>
        <v>Rotation</v>
      </c>
      <c r="X198" t="str">
        <f>IF(AND(DraftData[[#This Row],[Pick]]&lt;=14,DraftData[[#This Row],[Win Shares]]&lt;10),"Yes","No")</f>
        <v>No</v>
      </c>
      <c r="Y198" s="2">
        <f>DraftData[[#This Row],[Win Shares]]/DraftData[[#This Row],[Pick]]</f>
        <v>0.75882352941176467</v>
      </c>
      <c r="Z198" s="2">
        <f>DraftData[[#This Row],[Win Shares]]-_xlfn.XLOOKUP(DraftData[[#This Row],[Pick]],'Lookup Tables'!$A$2:$A$31,'Lookup Tables'!$B$2:$B$31)</f>
        <v>-4.4166666666666661</v>
      </c>
    </row>
    <row r="199" spans="1:26">
      <c r="A199">
        <v>2011</v>
      </c>
      <c r="B199">
        <v>18</v>
      </c>
      <c r="C199" t="s">
        <v>137</v>
      </c>
      <c r="D199" t="s">
        <v>332</v>
      </c>
      <c r="E199" t="s">
        <v>175</v>
      </c>
      <c r="F199">
        <v>148</v>
      </c>
      <c r="G199">
        <v>2605</v>
      </c>
      <c r="H199">
        <v>612</v>
      </c>
      <c r="I199">
        <v>472</v>
      </c>
      <c r="J199">
        <v>92</v>
      </c>
      <c r="K199">
        <v>0.376</v>
      </c>
      <c r="L199">
        <v>0.31900000000000001</v>
      </c>
      <c r="M199">
        <v>0.63300000000000001</v>
      </c>
      <c r="N199">
        <v>2.2999999999999998</v>
      </c>
      <c r="O199">
        <v>4.2000000000000003E-2</v>
      </c>
      <c r="P199">
        <v>-3.2</v>
      </c>
      <c r="Q199">
        <v>-0.8</v>
      </c>
      <c r="R199">
        <v>17.600000000000001</v>
      </c>
      <c r="S199">
        <v>4.0999999999999996</v>
      </c>
      <c r="T199">
        <v>3.2</v>
      </c>
      <c r="U199">
        <v>0.6</v>
      </c>
      <c r="V199" t="str">
        <f>IF(DraftData[[#This Row],[Pick]]&lt;=5,"Top 5",
IF(DraftData[[#This Row],[Pick]]&lt;=14,"Lottery",
IF(DraftData[[#This Row],[Pick]]&lt;=20,"Mid First","Late First")))</f>
        <v>Mid First</v>
      </c>
      <c r="W199" t="str">
        <f>IF(DraftData[[#This Row],[Win Shares]]&gt;=80,"Star",
IF(DraftData[[#This Row],[Win Shares]]&gt;=30,"Starter",
IF(DraftData[[#This Row],[Win Shares]]&gt;=10,"Rotation","Minimal")))</f>
        <v>Minimal</v>
      </c>
      <c r="X199" t="str">
        <f>IF(AND(DraftData[[#This Row],[Pick]]&lt;=14,DraftData[[#This Row],[Win Shares]]&lt;10),"Yes","No")</f>
        <v>No</v>
      </c>
      <c r="Y199" s="2">
        <f>DraftData[[#This Row],[Win Shares]]/DraftData[[#This Row],[Pick]]</f>
        <v>0.12777777777777777</v>
      </c>
      <c r="Z199" s="2">
        <f>DraftData[[#This Row],[Win Shares]]-_xlfn.XLOOKUP(DraftData[[#This Row],[Pick]],'Lookup Tables'!$A$2:$A$31,'Lookup Tables'!$B$2:$B$31)</f>
        <v>-15.008333333333333</v>
      </c>
    </row>
    <row r="200" spans="1:26">
      <c r="A200">
        <v>2011</v>
      </c>
      <c r="B200">
        <v>19</v>
      </c>
      <c r="C200" t="s">
        <v>48</v>
      </c>
      <c r="D200" t="s">
        <v>333</v>
      </c>
      <c r="E200" t="s">
        <v>334</v>
      </c>
      <c r="F200">
        <v>729</v>
      </c>
      <c r="G200">
        <v>22807</v>
      </c>
      <c r="H200">
        <v>11970</v>
      </c>
      <c r="I200">
        <v>4523</v>
      </c>
      <c r="J200">
        <v>1655</v>
      </c>
      <c r="K200">
        <v>0.47599999999999998</v>
      </c>
      <c r="L200">
        <v>0.36599999999999999</v>
      </c>
      <c r="M200">
        <v>0.82899999999999996</v>
      </c>
      <c r="N200">
        <v>56.9</v>
      </c>
      <c r="O200">
        <v>0.12</v>
      </c>
      <c r="P200">
        <v>1.1000000000000001</v>
      </c>
      <c r="Q200">
        <v>18</v>
      </c>
      <c r="R200">
        <v>31.3</v>
      </c>
      <c r="S200">
        <v>16.399999999999999</v>
      </c>
      <c r="T200">
        <v>6.2</v>
      </c>
      <c r="U200">
        <v>2.2999999999999998</v>
      </c>
      <c r="V200" t="str">
        <f>IF(DraftData[[#This Row],[Pick]]&lt;=5,"Top 5",
IF(DraftData[[#This Row],[Pick]]&lt;=14,"Lottery",
IF(DraftData[[#This Row],[Pick]]&lt;=20,"Mid First","Late First")))</f>
        <v>Mid First</v>
      </c>
      <c r="W200" t="str">
        <f>IF(DraftData[[#This Row],[Win Shares]]&gt;=80,"Star",
IF(DraftData[[#This Row],[Win Shares]]&gt;=30,"Starter",
IF(DraftData[[#This Row],[Win Shares]]&gt;=10,"Rotation","Minimal")))</f>
        <v>Starter</v>
      </c>
      <c r="X200" t="str">
        <f>IF(AND(DraftData[[#This Row],[Pick]]&lt;=14,DraftData[[#This Row],[Win Shares]]&lt;10),"Yes","No")</f>
        <v>No</v>
      </c>
      <c r="Y200" s="2">
        <f>DraftData[[#This Row],[Win Shares]]/DraftData[[#This Row],[Pick]]</f>
        <v>2.9947368421052629</v>
      </c>
      <c r="Z200" s="2">
        <f>DraftData[[#This Row],[Win Shares]]-_xlfn.XLOOKUP(DraftData[[#This Row],[Pick]],'Lookup Tables'!$A$2:$A$31,'Lookup Tables'!$B$2:$B$31)</f>
        <v>39.324999999999996</v>
      </c>
    </row>
    <row r="201" spans="1:26">
      <c r="A201">
        <v>2011</v>
      </c>
      <c r="B201">
        <v>20</v>
      </c>
      <c r="C201" t="s">
        <v>68</v>
      </c>
      <c r="D201" t="s">
        <v>335</v>
      </c>
      <c r="F201">
        <v>251</v>
      </c>
      <c r="G201">
        <v>4566</v>
      </c>
      <c r="H201">
        <v>1832</v>
      </c>
      <c r="I201">
        <v>952</v>
      </c>
      <c r="J201">
        <v>269</v>
      </c>
      <c r="K201">
        <v>0.46899999999999997</v>
      </c>
      <c r="L201">
        <v>0.3</v>
      </c>
      <c r="M201">
        <v>0.59699999999999998</v>
      </c>
      <c r="N201">
        <v>7.1</v>
      </c>
      <c r="O201">
        <v>7.4999999999999997E-2</v>
      </c>
      <c r="P201">
        <v>-2.5</v>
      </c>
      <c r="Q201">
        <v>-0.5</v>
      </c>
      <c r="R201">
        <v>18.2</v>
      </c>
      <c r="S201">
        <v>7.3</v>
      </c>
      <c r="T201">
        <v>3.8</v>
      </c>
      <c r="U201">
        <v>1.1000000000000001</v>
      </c>
      <c r="V201" t="str">
        <f>IF(DraftData[[#This Row],[Pick]]&lt;=5,"Top 5",
IF(DraftData[[#This Row],[Pick]]&lt;=14,"Lottery",
IF(DraftData[[#This Row],[Pick]]&lt;=20,"Mid First","Late First")))</f>
        <v>Mid First</v>
      </c>
      <c r="W201" t="str">
        <f>IF(DraftData[[#This Row],[Win Shares]]&gt;=80,"Star",
IF(DraftData[[#This Row],[Win Shares]]&gt;=30,"Starter",
IF(DraftData[[#This Row],[Win Shares]]&gt;=10,"Rotation","Minimal")))</f>
        <v>Minimal</v>
      </c>
      <c r="X201" t="str">
        <f>IF(AND(DraftData[[#This Row],[Pick]]&lt;=14,DraftData[[#This Row],[Win Shares]]&lt;10),"Yes","No")</f>
        <v>No</v>
      </c>
      <c r="Y201" s="2">
        <f>DraftData[[#This Row],[Win Shares]]/DraftData[[#This Row],[Pick]]</f>
        <v>0.35499999999999998</v>
      </c>
      <c r="Z201" s="2">
        <f>DraftData[[#This Row],[Win Shares]]-_xlfn.XLOOKUP(DraftData[[#This Row],[Pick]],'Lookup Tables'!$A$2:$A$31,'Lookup Tables'!$B$2:$B$31)</f>
        <v>-3.2916666666666679</v>
      </c>
    </row>
    <row r="202" spans="1:26">
      <c r="A202">
        <v>2011</v>
      </c>
      <c r="B202">
        <v>21</v>
      </c>
      <c r="C202" t="s">
        <v>50</v>
      </c>
      <c r="D202" t="s">
        <v>336</v>
      </c>
      <c r="E202" t="s">
        <v>119</v>
      </c>
      <c r="F202">
        <v>84</v>
      </c>
      <c r="G202">
        <v>829</v>
      </c>
      <c r="H202">
        <v>277</v>
      </c>
      <c r="I202">
        <v>83</v>
      </c>
      <c r="J202">
        <v>97</v>
      </c>
      <c r="K202">
        <v>0.371</v>
      </c>
      <c r="L202">
        <v>0.26</v>
      </c>
      <c r="M202">
        <v>0.71399999999999997</v>
      </c>
      <c r="N202">
        <v>-0.8</v>
      </c>
      <c r="O202">
        <v>-4.7E-2</v>
      </c>
      <c r="P202">
        <v>-6</v>
      </c>
      <c r="Q202">
        <v>-0.8</v>
      </c>
      <c r="R202">
        <v>9.9</v>
      </c>
      <c r="S202">
        <v>3.3</v>
      </c>
      <c r="T202">
        <v>1</v>
      </c>
      <c r="U202">
        <v>1.2</v>
      </c>
      <c r="V202" t="str">
        <f>IF(DraftData[[#This Row],[Pick]]&lt;=5,"Top 5",
IF(DraftData[[#This Row],[Pick]]&lt;=14,"Lottery",
IF(DraftData[[#This Row],[Pick]]&lt;=20,"Mid First","Late First")))</f>
        <v>Late First</v>
      </c>
      <c r="W202" t="str">
        <f>IF(DraftData[[#This Row],[Win Shares]]&gt;=80,"Star",
IF(DraftData[[#This Row],[Win Shares]]&gt;=30,"Starter",
IF(DraftData[[#This Row],[Win Shares]]&gt;=10,"Rotation","Minimal")))</f>
        <v>Minimal</v>
      </c>
      <c r="X202" t="str">
        <f>IF(AND(DraftData[[#This Row],[Pick]]&lt;=14,DraftData[[#This Row],[Win Shares]]&lt;10),"Yes","No")</f>
        <v>No</v>
      </c>
      <c r="Y202" s="2">
        <f>DraftData[[#This Row],[Win Shares]]/DraftData[[#This Row],[Pick]]</f>
        <v>-3.8095238095238099E-2</v>
      </c>
      <c r="Z202" s="2">
        <f>DraftData[[#This Row],[Win Shares]]-_xlfn.XLOOKUP(DraftData[[#This Row],[Pick]],'Lookup Tables'!$A$2:$A$31,'Lookup Tables'!$B$2:$B$31)</f>
        <v>-21.300000000000004</v>
      </c>
    </row>
    <row r="203" spans="1:26">
      <c r="A203">
        <v>2011</v>
      </c>
      <c r="B203">
        <v>22</v>
      </c>
      <c r="C203" t="s">
        <v>83</v>
      </c>
      <c r="D203" t="s">
        <v>337</v>
      </c>
      <c r="E203" t="s">
        <v>338</v>
      </c>
      <c r="F203">
        <v>478</v>
      </c>
      <c r="G203">
        <v>11728</v>
      </c>
      <c r="H203">
        <v>5430</v>
      </c>
      <c r="I203">
        <v>3884</v>
      </c>
      <c r="J203">
        <v>470</v>
      </c>
      <c r="K203">
        <v>0.54600000000000004</v>
      </c>
      <c r="L203">
        <v>0.222</v>
      </c>
      <c r="M203">
        <v>0.65400000000000003</v>
      </c>
      <c r="N203">
        <v>38.799999999999997</v>
      </c>
      <c r="O203">
        <v>0.159</v>
      </c>
      <c r="P203">
        <v>0.5</v>
      </c>
      <c r="Q203">
        <v>7.5</v>
      </c>
      <c r="R203">
        <v>24.5</v>
      </c>
      <c r="S203">
        <v>11.4</v>
      </c>
      <c r="T203">
        <v>8.1</v>
      </c>
      <c r="U203">
        <v>1</v>
      </c>
      <c r="V203" t="str">
        <f>IF(DraftData[[#This Row],[Pick]]&lt;=5,"Top 5",
IF(DraftData[[#This Row],[Pick]]&lt;=14,"Lottery",
IF(DraftData[[#This Row],[Pick]]&lt;=20,"Mid First","Late First")))</f>
        <v>Late First</v>
      </c>
      <c r="W203" t="str">
        <f>IF(DraftData[[#This Row],[Win Shares]]&gt;=80,"Star",
IF(DraftData[[#This Row],[Win Shares]]&gt;=30,"Starter",
IF(DraftData[[#This Row],[Win Shares]]&gt;=10,"Rotation","Minimal")))</f>
        <v>Starter</v>
      </c>
      <c r="X203" t="str">
        <f>IF(AND(DraftData[[#This Row],[Pick]]&lt;=14,DraftData[[#This Row],[Win Shares]]&lt;10),"Yes","No")</f>
        <v>No</v>
      </c>
      <c r="Y203" s="2">
        <f>DraftData[[#This Row],[Win Shares]]/DraftData[[#This Row],[Pick]]</f>
        <v>1.7636363636363634</v>
      </c>
      <c r="Z203" s="2">
        <f>DraftData[[#This Row],[Win Shares]]-_xlfn.XLOOKUP(DraftData[[#This Row],[Pick]],'Lookup Tables'!$A$2:$A$31,'Lookup Tables'!$B$2:$B$31)</f>
        <v>20.316666666666659</v>
      </c>
    </row>
    <row r="204" spans="1:26">
      <c r="A204">
        <v>2011</v>
      </c>
      <c r="B204">
        <v>23</v>
      </c>
      <c r="C204" t="s">
        <v>94</v>
      </c>
      <c r="D204" t="s">
        <v>339</v>
      </c>
      <c r="F204">
        <v>319</v>
      </c>
      <c r="G204">
        <v>7718</v>
      </c>
      <c r="H204">
        <v>3910</v>
      </c>
      <c r="I204">
        <v>1894</v>
      </c>
      <c r="J204">
        <v>407</v>
      </c>
      <c r="K204">
        <v>0.42299999999999999</v>
      </c>
      <c r="L204">
        <v>0.35899999999999999</v>
      </c>
      <c r="M204">
        <v>0.80800000000000005</v>
      </c>
      <c r="N204">
        <v>20.8</v>
      </c>
      <c r="O204">
        <v>0.129</v>
      </c>
      <c r="P204">
        <v>1.6</v>
      </c>
      <c r="Q204">
        <v>7.1</v>
      </c>
      <c r="R204">
        <v>24.2</v>
      </c>
      <c r="S204">
        <v>12.3</v>
      </c>
      <c r="T204">
        <v>5.9</v>
      </c>
      <c r="U204">
        <v>1.3</v>
      </c>
      <c r="V204" t="str">
        <f>IF(DraftData[[#This Row],[Pick]]&lt;=5,"Top 5",
IF(DraftData[[#This Row],[Pick]]&lt;=14,"Lottery",
IF(DraftData[[#This Row],[Pick]]&lt;=20,"Mid First","Late First")))</f>
        <v>Late First</v>
      </c>
      <c r="W204" t="str">
        <f>IF(DraftData[[#This Row],[Win Shares]]&gt;=80,"Star",
IF(DraftData[[#This Row],[Win Shares]]&gt;=30,"Starter",
IF(DraftData[[#This Row],[Win Shares]]&gt;=10,"Rotation","Minimal")))</f>
        <v>Rotation</v>
      </c>
      <c r="X204" t="str">
        <f>IF(AND(DraftData[[#This Row],[Pick]]&lt;=14,DraftData[[#This Row],[Win Shares]]&lt;10),"Yes","No")</f>
        <v>No</v>
      </c>
      <c r="Y204" s="2">
        <f>DraftData[[#This Row],[Win Shares]]/DraftData[[#This Row],[Pick]]</f>
        <v>0.90434782608695652</v>
      </c>
      <c r="Z204" s="2">
        <f>DraftData[[#This Row],[Win Shares]]-_xlfn.XLOOKUP(DraftData[[#This Row],[Pick]],'Lookup Tables'!$A$2:$A$31,'Lookup Tables'!$B$2:$B$31)</f>
        <v>4.158333333333335</v>
      </c>
    </row>
    <row r="205" spans="1:26">
      <c r="A205">
        <v>2011</v>
      </c>
      <c r="B205">
        <v>24</v>
      </c>
      <c r="C205" t="s">
        <v>96</v>
      </c>
      <c r="D205" t="s">
        <v>340</v>
      </c>
      <c r="E205" t="s">
        <v>181</v>
      </c>
      <c r="F205">
        <v>685</v>
      </c>
      <c r="G205">
        <v>17423</v>
      </c>
      <c r="H205">
        <v>8864</v>
      </c>
      <c r="I205">
        <v>2047</v>
      </c>
      <c r="J205">
        <v>2920</v>
      </c>
      <c r="K205">
        <v>0.42499999999999999</v>
      </c>
      <c r="L205">
        <v>0.34499999999999997</v>
      </c>
      <c r="M205">
        <v>0.85399999999999998</v>
      </c>
      <c r="N205">
        <v>33.700000000000003</v>
      </c>
      <c r="O205">
        <v>9.2999999999999999E-2</v>
      </c>
      <c r="P205">
        <v>0.2</v>
      </c>
      <c r="Q205">
        <v>9.4</v>
      </c>
      <c r="R205">
        <v>25.4</v>
      </c>
      <c r="S205">
        <v>12.9</v>
      </c>
      <c r="T205">
        <v>3</v>
      </c>
      <c r="U205">
        <v>4.3</v>
      </c>
      <c r="V205" t="str">
        <f>IF(DraftData[[#This Row],[Pick]]&lt;=5,"Top 5",
IF(DraftData[[#This Row],[Pick]]&lt;=14,"Lottery",
IF(DraftData[[#This Row],[Pick]]&lt;=20,"Mid First","Late First")))</f>
        <v>Late First</v>
      </c>
      <c r="W205" t="str">
        <f>IF(DraftData[[#This Row],[Win Shares]]&gt;=80,"Star",
IF(DraftData[[#This Row],[Win Shares]]&gt;=30,"Starter",
IF(DraftData[[#This Row],[Win Shares]]&gt;=10,"Rotation","Minimal")))</f>
        <v>Starter</v>
      </c>
      <c r="X205" t="str">
        <f>IF(AND(DraftData[[#This Row],[Pick]]&lt;=14,DraftData[[#This Row],[Win Shares]]&lt;10),"Yes","No")</f>
        <v>No</v>
      </c>
      <c r="Y205" s="2">
        <f>DraftData[[#This Row],[Win Shares]]/DraftData[[#This Row],[Pick]]</f>
        <v>1.4041666666666668</v>
      </c>
      <c r="Z205" s="2">
        <f>DraftData[[#This Row],[Win Shares]]-_xlfn.XLOOKUP(DraftData[[#This Row],[Pick]],'Lookup Tables'!$A$2:$A$31,'Lookup Tables'!$B$2:$B$31)</f>
        <v>9.2000000000000028</v>
      </c>
    </row>
    <row r="206" spans="1:26">
      <c r="A206">
        <v>2011</v>
      </c>
      <c r="B206">
        <v>25</v>
      </c>
      <c r="C206" t="s">
        <v>78</v>
      </c>
      <c r="D206" t="s">
        <v>341</v>
      </c>
      <c r="E206" t="s">
        <v>342</v>
      </c>
      <c r="F206">
        <v>200</v>
      </c>
      <c r="G206">
        <v>3456</v>
      </c>
      <c r="H206">
        <v>1592</v>
      </c>
      <c r="I206">
        <v>424</v>
      </c>
      <c r="J206">
        <v>282</v>
      </c>
      <c r="K206">
        <v>0.44700000000000001</v>
      </c>
      <c r="L206">
        <v>0.34499999999999997</v>
      </c>
      <c r="M206">
        <v>0.751</v>
      </c>
      <c r="N206">
        <v>3.3</v>
      </c>
      <c r="O206">
        <v>4.5999999999999999E-2</v>
      </c>
      <c r="P206">
        <v>-1.6</v>
      </c>
      <c r="Q206">
        <v>0.4</v>
      </c>
      <c r="R206">
        <v>17.3</v>
      </c>
      <c r="S206">
        <v>8</v>
      </c>
      <c r="T206">
        <v>2.1</v>
      </c>
      <c r="U206">
        <v>1.4</v>
      </c>
      <c r="V206" t="str">
        <f>IF(DraftData[[#This Row],[Pick]]&lt;=5,"Top 5",
IF(DraftData[[#This Row],[Pick]]&lt;=14,"Lottery",
IF(DraftData[[#This Row],[Pick]]&lt;=20,"Mid First","Late First")))</f>
        <v>Late First</v>
      </c>
      <c r="W206" t="str">
        <f>IF(DraftData[[#This Row],[Win Shares]]&gt;=80,"Star",
IF(DraftData[[#This Row],[Win Shares]]&gt;=30,"Starter",
IF(DraftData[[#This Row],[Win Shares]]&gt;=10,"Rotation","Minimal")))</f>
        <v>Minimal</v>
      </c>
      <c r="X206" t="str">
        <f>IF(AND(DraftData[[#This Row],[Pick]]&lt;=14,DraftData[[#This Row],[Win Shares]]&lt;10),"Yes","No")</f>
        <v>No</v>
      </c>
      <c r="Y206" s="2">
        <f>DraftData[[#This Row],[Win Shares]]/DraftData[[#This Row],[Pick]]</f>
        <v>0.13200000000000001</v>
      </c>
      <c r="Z206" s="2">
        <f>DraftData[[#This Row],[Win Shares]]-_xlfn.XLOOKUP(DraftData[[#This Row],[Pick]],'Lookup Tables'!$A$2:$A$31,'Lookup Tables'!$B$2:$B$31)</f>
        <v>-9.5999999999999979</v>
      </c>
    </row>
    <row r="207" spans="1:26">
      <c r="A207">
        <v>2011</v>
      </c>
      <c r="B207">
        <v>26</v>
      </c>
      <c r="C207" t="s">
        <v>154</v>
      </c>
      <c r="D207" t="s">
        <v>343</v>
      </c>
      <c r="E207" t="s">
        <v>113</v>
      </c>
      <c r="F207">
        <v>151</v>
      </c>
      <c r="G207">
        <v>2100</v>
      </c>
      <c r="H207">
        <v>890</v>
      </c>
      <c r="I207">
        <v>429</v>
      </c>
      <c r="J207">
        <v>127</v>
      </c>
      <c r="K207">
        <v>0.40799999999999997</v>
      </c>
      <c r="L207">
        <v>0.35699999999999998</v>
      </c>
      <c r="M207">
        <v>0.67</v>
      </c>
      <c r="N207">
        <v>3</v>
      </c>
      <c r="O207">
        <v>6.9000000000000006E-2</v>
      </c>
      <c r="P207">
        <v>-0.1</v>
      </c>
      <c r="Q207">
        <v>1</v>
      </c>
      <c r="R207">
        <v>13.9</v>
      </c>
      <c r="S207">
        <v>5.9</v>
      </c>
      <c r="T207">
        <v>2.8</v>
      </c>
      <c r="U207">
        <v>0.8</v>
      </c>
      <c r="V207" t="str">
        <f>IF(DraftData[[#This Row],[Pick]]&lt;=5,"Top 5",
IF(DraftData[[#This Row],[Pick]]&lt;=14,"Lottery",
IF(DraftData[[#This Row],[Pick]]&lt;=20,"Mid First","Late First")))</f>
        <v>Late First</v>
      </c>
      <c r="W207" t="str">
        <f>IF(DraftData[[#This Row],[Win Shares]]&gt;=80,"Star",
IF(DraftData[[#This Row],[Win Shares]]&gt;=30,"Starter",
IF(DraftData[[#This Row],[Win Shares]]&gt;=10,"Rotation","Minimal")))</f>
        <v>Minimal</v>
      </c>
      <c r="X207" t="str">
        <f>IF(AND(DraftData[[#This Row],[Pick]]&lt;=14,DraftData[[#This Row],[Win Shares]]&lt;10),"Yes","No")</f>
        <v>No</v>
      </c>
      <c r="Y207" s="2">
        <f>DraftData[[#This Row],[Win Shares]]/DraftData[[#This Row],[Pick]]</f>
        <v>0.11538461538461539</v>
      </c>
      <c r="Z207" s="2">
        <f>DraftData[[#This Row],[Win Shares]]-_xlfn.XLOOKUP(DraftData[[#This Row],[Pick]],'Lookup Tables'!$A$2:$A$31,'Lookup Tables'!$B$2:$B$31)</f>
        <v>-17.400000000000002</v>
      </c>
    </row>
    <row r="208" spans="1:26">
      <c r="A208">
        <v>2011</v>
      </c>
      <c r="B208">
        <v>27</v>
      </c>
      <c r="C208" t="s">
        <v>70</v>
      </c>
      <c r="D208" t="s">
        <v>344</v>
      </c>
      <c r="E208" t="s">
        <v>345</v>
      </c>
      <c r="F208">
        <v>36</v>
      </c>
      <c r="G208">
        <v>298</v>
      </c>
      <c r="H208">
        <v>114</v>
      </c>
      <c r="I208">
        <v>58</v>
      </c>
      <c r="J208">
        <v>6</v>
      </c>
      <c r="K208">
        <v>0.44600000000000001</v>
      </c>
      <c r="M208">
        <v>0.66700000000000004</v>
      </c>
      <c r="N208">
        <v>0.2</v>
      </c>
      <c r="O208">
        <v>3.2000000000000001E-2</v>
      </c>
      <c r="P208">
        <v>-3.9</v>
      </c>
      <c r="Q208">
        <v>-0.1</v>
      </c>
      <c r="R208">
        <v>8.3000000000000007</v>
      </c>
      <c r="S208">
        <v>3.2</v>
      </c>
      <c r="T208">
        <v>1.6</v>
      </c>
      <c r="U208">
        <v>0.2</v>
      </c>
      <c r="V208" t="str">
        <f>IF(DraftData[[#This Row],[Pick]]&lt;=5,"Top 5",
IF(DraftData[[#This Row],[Pick]]&lt;=14,"Lottery",
IF(DraftData[[#This Row],[Pick]]&lt;=20,"Mid First","Late First")))</f>
        <v>Late First</v>
      </c>
      <c r="W208" t="str">
        <f>IF(DraftData[[#This Row],[Win Shares]]&gt;=80,"Star",
IF(DraftData[[#This Row],[Win Shares]]&gt;=30,"Starter",
IF(DraftData[[#This Row],[Win Shares]]&gt;=10,"Rotation","Minimal")))</f>
        <v>Minimal</v>
      </c>
      <c r="X208" t="str">
        <f>IF(AND(DraftData[[#This Row],[Pick]]&lt;=14,DraftData[[#This Row],[Win Shares]]&lt;10),"Yes","No")</f>
        <v>No</v>
      </c>
      <c r="Y208" s="2">
        <f>DraftData[[#This Row],[Win Shares]]/DraftData[[#This Row],[Pick]]</f>
        <v>7.4074074074074077E-3</v>
      </c>
      <c r="Z208" s="2">
        <f>DraftData[[#This Row],[Win Shares]]-_xlfn.XLOOKUP(DraftData[[#This Row],[Pick]],'Lookup Tables'!$A$2:$A$31,'Lookup Tables'!$B$2:$B$31)</f>
        <v>-20.908333333333335</v>
      </c>
    </row>
    <row r="209" spans="1:26">
      <c r="A209">
        <v>2011</v>
      </c>
      <c r="B209">
        <v>28</v>
      </c>
      <c r="C209" t="s">
        <v>111</v>
      </c>
      <c r="D209" t="s">
        <v>346</v>
      </c>
      <c r="E209" t="s">
        <v>347</v>
      </c>
      <c r="F209">
        <v>360</v>
      </c>
      <c r="G209">
        <v>8018</v>
      </c>
      <c r="H209">
        <v>2506</v>
      </c>
      <c r="I209">
        <v>702</v>
      </c>
      <c r="J209">
        <v>981</v>
      </c>
      <c r="K209">
        <v>0.40699999999999997</v>
      </c>
      <c r="L209">
        <v>0.32400000000000001</v>
      </c>
      <c r="M209">
        <v>0.74299999999999999</v>
      </c>
      <c r="N209">
        <v>3</v>
      </c>
      <c r="O209">
        <v>1.7999999999999999E-2</v>
      </c>
      <c r="P209">
        <v>-4.0999999999999996</v>
      </c>
      <c r="Q209">
        <v>-4.0999999999999996</v>
      </c>
      <c r="R209">
        <v>22.3</v>
      </c>
      <c r="S209">
        <v>7</v>
      </c>
      <c r="T209">
        <v>2</v>
      </c>
      <c r="U209">
        <v>2.7</v>
      </c>
      <c r="V209" t="str">
        <f>IF(DraftData[[#This Row],[Pick]]&lt;=5,"Top 5",
IF(DraftData[[#This Row],[Pick]]&lt;=14,"Lottery",
IF(DraftData[[#This Row],[Pick]]&lt;=20,"Mid First","Late First")))</f>
        <v>Late First</v>
      </c>
      <c r="W209" t="str">
        <f>IF(DraftData[[#This Row],[Win Shares]]&gt;=80,"Star",
IF(DraftData[[#This Row],[Win Shares]]&gt;=30,"Starter",
IF(DraftData[[#This Row],[Win Shares]]&gt;=10,"Rotation","Minimal")))</f>
        <v>Minimal</v>
      </c>
      <c r="X209" t="str">
        <f>IF(AND(DraftData[[#This Row],[Pick]]&lt;=14,DraftData[[#This Row],[Win Shares]]&lt;10),"Yes","No")</f>
        <v>No</v>
      </c>
      <c r="Y209" s="2">
        <f>DraftData[[#This Row],[Win Shares]]/DraftData[[#This Row],[Pick]]</f>
        <v>0.10714285714285714</v>
      </c>
      <c r="Z209" s="2">
        <f>DraftData[[#This Row],[Win Shares]]-_xlfn.XLOOKUP(DraftData[[#This Row],[Pick]],'Lookup Tables'!$A$2:$A$31,'Lookup Tables'!$B$2:$B$31)</f>
        <v>-5.6454545454545464</v>
      </c>
    </row>
    <row r="210" spans="1:26">
      <c r="A210">
        <v>2011</v>
      </c>
      <c r="B210">
        <v>29</v>
      </c>
      <c r="C210" t="s">
        <v>103</v>
      </c>
      <c r="D210" t="s">
        <v>348</v>
      </c>
      <c r="E210" t="s">
        <v>113</v>
      </c>
      <c r="F210">
        <v>710</v>
      </c>
      <c r="G210">
        <v>15708</v>
      </c>
      <c r="H210">
        <v>5020</v>
      </c>
      <c r="I210">
        <v>1828</v>
      </c>
      <c r="J210">
        <v>2133</v>
      </c>
      <c r="K210">
        <v>0.44400000000000001</v>
      </c>
      <c r="L210">
        <v>0.34300000000000003</v>
      </c>
      <c r="M210">
        <v>0.78100000000000003</v>
      </c>
      <c r="N210">
        <v>27.9</v>
      </c>
      <c r="O210">
        <v>8.5000000000000006E-2</v>
      </c>
      <c r="P210">
        <v>-1</v>
      </c>
      <c r="Q210">
        <v>3.8</v>
      </c>
      <c r="R210">
        <v>22.1</v>
      </c>
      <c r="S210">
        <v>7.1</v>
      </c>
      <c r="T210">
        <v>2.6</v>
      </c>
      <c r="U210">
        <v>3</v>
      </c>
      <c r="V210" t="str">
        <f>IF(DraftData[[#This Row],[Pick]]&lt;=5,"Top 5",
IF(DraftData[[#This Row],[Pick]]&lt;=14,"Lottery",
IF(DraftData[[#This Row],[Pick]]&lt;=20,"Mid First","Late First")))</f>
        <v>Late First</v>
      </c>
      <c r="W210" t="str">
        <f>IF(DraftData[[#This Row],[Win Shares]]&gt;=80,"Star",
IF(DraftData[[#This Row],[Win Shares]]&gt;=30,"Starter",
IF(DraftData[[#This Row],[Win Shares]]&gt;=10,"Rotation","Minimal")))</f>
        <v>Rotation</v>
      </c>
      <c r="X210" t="str">
        <f>IF(AND(DraftData[[#This Row],[Pick]]&lt;=14,DraftData[[#This Row],[Win Shares]]&lt;10),"Yes","No")</f>
        <v>No</v>
      </c>
      <c r="Y210" s="2">
        <f>DraftData[[#This Row],[Win Shares]]/DraftData[[#This Row],[Pick]]</f>
        <v>0.9620689655172413</v>
      </c>
      <c r="Z210" s="2">
        <f>DraftData[[#This Row],[Win Shares]]-_xlfn.XLOOKUP(DraftData[[#This Row],[Pick]],'Lookup Tables'!$A$2:$A$31,'Lookup Tables'!$B$2:$B$31)</f>
        <v>22.833333333333332</v>
      </c>
    </row>
    <row r="211" spans="1:26">
      <c r="A211">
        <v>2011</v>
      </c>
      <c r="B211">
        <v>30</v>
      </c>
      <c r="C211" t="s">
        <v>111</v>
      </c>
      <c r="D211" t="s">
        <v>349</v>
      </c>
      <c r="E211" t="s">
        <v>310</v>
      </c>
      <c r="F211">
        <v>673</v>
      </c>
      <c r="G211">
        <v>22306</v>
      </c>
      <c r="H211">
        <v>11873</v>
      </c>
      <c r="I211">
        <v>3579</v>
      </c>
      <c r="J211">
        <v>2764</v>
      </c>
      <c r="K211">
        <v>0.45900000000000002</v>
      </c>
      <c r="L211">
        <v>0.32100000000000001</v>
      </c>
      <c r="M211">
        <v>0.84199999999999997</v>
      </c>
      <c r="N211">
        <v>91.5</v>
      </c>
      <c r="O211">
        <v>0.19700000000000001</v>
      </c>
      <c r="P211">
        <v>4.7</v>
      </c>
      <c r="Q211">
        <v>37.6</v>
      </c>
      <c r="R211">
        <v>33.1</v>
      </c>
      <c r="S211">
        <v>17.600000000000001</v>
      </c>
      <c r="T211">
        <v>5.3</v>
      </c>
      <c r="U211">
        <v>4.0999999999999996</v>
      </c>
      <c r="V211" t="str">
        <f>IF(DraftData[[#This Row],[Pick]]&lt;=5,"Top 5",
IF(DraftData[[#This Row],[Pick]]&lt;=14,"Lottery",
IF(DraftData[[#This Row],[Pick]]&lt;=20,"Mid First","Late First")))</f>
        <v>Late First</v>
      </c>
      <c r="W211" t="str">
        <f>IF(DraftData[[#This Row],[Win Shares]]&gt;=80,"Star",
IF(DraftData[[#This Row],[Win Shares]]&gt;=30,"Starter",
IF(DraftData[[#This Row],[Win Shares]]&gt;=10,"Rotation","Minimal")))</f>
        <v>Star</v>
      </c>
      <c r="X211" t="str">
        <f>IF(AND(DraftData[[#This Row],[Pick]]&lt;=14,DraftData[[#This Row],[Win Shares]]&lt;10),"Yes","No")</f>
        <v>No</v>
      </c>
      <c r="Y211" s="2">
        <f>DraftData[[#This Row],[Win Shares]]/DraftData[[#This Row],[Pick]]</f>
        <v>3.05</v>
      </c>
      <c r="Z211" s="2">
        <f>DraftData[[#This Row],[Win Shares]]-_xlfn.XLOOKUP(DraftData[[#This Row],[Pick]],'Lookup Tables'!$A$2:$A$31,'Lookup Tables'!$B$2:$B$31)</f>
        <v>70.781818181818181</v>
      </c>
    </row>
    <row r="212" spans="1:26">
      <c r="A212">
        <v>2012</v>
      </c>
      <c r="B212">
        <v>1</v>
      </c>
      <c r="C212" t="s">
        <v>45</v>
      </c>
      <c r="D212" t="s">
        <v>350</v>
      </c>
      <c r="E212" t="s">
        <v>144</v>
      </c>
      <c r="F212">
        <v>601</v>
      </c>
      <c r="G212">
        <v>20698</v>
      </c>
      <c r="H212">
        <v>14318</v>
      </c>
      <c r="I212">
        <v>6129</v>
      </c>
      <c r="J212">
        <v>1399</v>
      </c>
      <c r="K212">
        <v>0.51500000000000001</v>
      </c>
      <c r="L212">
        <v>0.30299999999999999</v>
      </c>
      <c r="M212">
        <v>0.79400000000000004</v>
      </c>
      <c r="N212">
        <v>91.5</v>
      </c>
      <c r="O212">
        <v>0.21199999999999999</v>
      </c>
      <c r="P212">
        <v>6</v>
      </c>
      <c r="Q212">
        <v>42</v>
      </c>
      <c r="R212">
        <v>34.4</v>
      </c>
      <c r="S212">
        <v>23.8</v>
      </c>
      <c r="T212">
        <v>10.199999999999999</v>
      </c>
      <c r="U212">
        <v>2.2999999999999998</v>
      </c>
      <c r="V212" t="str">
        <f>IF(DraftData[[#This Row],[Pick]]&lt;=5,"Top 5",
IF(DraftData[[#This Row],[Pick]]&lt;=14,"Lottery",
IF(DraftData[[#This Row],[Pick]]&lt;=20,"Mid First","Late First")))</f>
        <v>Top 5</v>
      </c>
      <c r="W212" t="str">
        <f>IF(DraftData[[#This Row],[Win Shares]]&gt;=80,"Star",
IF(DraftData[[#This Row],[Win Shares]]&gt;=30,"Starter",
IF(DraftData[[#This Row],[Win Shares]]&gt;=10,"Rotation","Minimal")))</f>
        <v>Star</v>
      </c>
      <c r="X212" t="str">
        <f>IF(AND(DraftData[[#This Row],[Pick]]&lt;=14,DraftData[[#This Row],[Win Shares]]&lt;10),"Yes","No")</f>
        <v>No</v>
      </c>
      <c r="Y212" s="2">
        <f>DraftData[[#This Row],[Win Shares]]/DraftData[[#This Row],[Pick]]</f>
        <v>91.5</v>
      </c>
      <c r="Z212" s="2">
        <f>DraftData[[#This Row],[Win Shares]]-_xlfn.XLOOKUP(DraftData[[#This Row],[Pick]],'Lookup Tables'!$A$2:$A$31,'Lookup Tables'!$B$2:$B$31)</f>
        <v>47.916666666666664</v>
      </c>
    </row>
    <row r="213" spans="1:26">
      <c r="A213">
        <v>2012</v>
      </c>
      <c r="B213">
        <v>2</v>
      </c>
      <c r="C213" t="s">
        <v>48</v>
      </c>
      <c r="D213" t="s">
        <v>351</v>
      </c>
      <c r="E213" t="s">
        <v>144</v>
      </c>
      <c r="F213">
        <v>446</v>
      </c>
      <c r="G213">
        <v>10978</v>
      </c>
      <c r="H213">
        <v>3750</v>
      </c>
      <c r="I213">
        <v>2420</v>
      </c>
      <c r="J213">
        <v>515</v>
      </c>
      <c r="K213">
        <v>0.47399999999999998</v>
      </c>
      <c r="L213">
        <v>0.27200000000000002</v>
      </c>
      <c r="M213">
        <v>0.71499999999999997</v>
      </c>
      <c r="N213">
        <v>21</v>
      </c>
      <c r="O213">
        <v>9.1999999999999998E-2</v>
      </c>
      <c r="P213">
        <v>-1.8</v>
      </c>
      <c r="Q213">
        <v>0.6</v>
      </c>
      <c r="R213">
        <v>24.6</v>
      </c>
      <c r="S213">
        <v>8.4</v>
      </c>
      <c r="T213">
        <v>5.4</v>
      </c>
      <c r="U213">
        <v>1.2</v>
      </c>
      <c r="V213" t="str">
        <f>IF(DraftData[[#This Row],[Pick]]&lt;=5,"Top 5",
IF(DraftData[[#This Row],[Pick]]&lt;=14,"Lottery",
IF(DraftData[[#This Row],[Pick]]&lt;=20,"Mid First","Late First")))</f>
        <v>Top 5</v>
      </c>
      <c r="W213" t="str">
        <f>IF(DraftData[[#This Row],[Win Shares]]&gt;=80,"Star",
IF(DraftData[[#This Row],[Win Shares]]&gt;=30,"Starter",
IF(DraftData[[#This Row],[Win Shares]]&gt;=10,"Rotation","Minimal")))</f>
        <v>Rotation</v>
      </c>
      <c r="X213" t="str">
        <f>IF(AND(DraftData[[#This Row],[Pick]]&lt;=14,DraftData[[#This Row],[Win Shares]]&lt;10),"Yes","No")</f>
        <v>No</v>
      </c>
      <c r="Y213" s="2">
        <f>DraftData[[#This Row],[Win Shares]]/DraftData[[#This Row],[Pick]]</f>
        <v>10.5</v>
      </c>
      <c r="Z213" s="2">
        <f>DraftData[[#This Row],[Win Shares]]-_xlfn.XLOOKUP(DraftData[[#This Row],[Pick]],'Lookup Tables'!$A$2:$A$31,'Lookup Tables'!$B$2:$B$31)</f>
        <v>-18.791666666666664</v>
      </c>
    </row>
    <row r="214" spans="1:26">
      <c r="A214">
        <v>2012</v>
      </c>
      <c r="B214">
        <v>3</v>
      </c>
      <c r="C214" t="s">
        <v>137</v>
      </c>
      <c r="D214" t="s">
        <v>352</v>
      </c>
      <c r="E214" t="s">
        <v>109</v>
      </c>
      <c r="F214">
        <v>645</v>
      </c>
      <c r="G214">
        <v>22418</v>
      </c>
      <c r="H214">
        <v>14231</v>
      </c>
      <c r="I214">
        <v>2641</v>
      </c>
      <c r="J214">
        <v>2701</v>
      </c>
      <c r="K214">
        <v>0.45600000000000002</v>
      </c>
      <c r="L214">
        <v>0.372</v>
      </c>
      <c r="M214">
        <v>0.82099999999999995</v>
      </c>
      <c r="N214">
        <v>49.2</v>
      </c>
      <c r="O214">
        <v>0.105</v>
      </c>
      <c r="P214">
        <v>1.7</v>
      </c>
      <c r="Q214">
        <v>21</v>
      </c>
      <c r="R214">
        <v>34.799999999999997</v>
      </c>
      <c r="S214">
        <v>22.1</v>
      </c>
      <c r="T214">
        <v>4.0999999999999996</v>
      </c>
      <c r="U214">
        <v>4.2</v>
      </c>
      <c r="V214" t="str">
        <f>IF(DraftData[[#This Row],[Pick]]&lt;=5,"Top 5",
IF(DraftData[[#This Row],[Pick]]&lt;=14,"Lottery",
IF(DraftData[[#This Row],[Pick]]&lt;=20,"Mid First","Late First")))</f>
        <v>Top 5</v>
      </c>
      <c r="W214" t="str">
        <f>IF(DraftData[[#This Row],[Win Shares]]&gt;=80,"Star",
IF(DraftData[[#This Row],[Win Shares]]&gt;=30,"Starter",
IF(DraftData[[#This Row],[Win Shares]]&gt;=10,"Rotation","Minimal")))</f>
        <v>Starter</v>
      </c>
      <c r="X214" t="str">
        <f>IF(AND(DraftData[[#This Row],[Pick]]&lt;=14,DraftData[[#This Row],[Win Shares]]&lt;10),"Yes","No")</f>
        <v>No</v>
      </c>
      <c r="Y214" s="2">
        <f>DraftData[[#This Row],[Win Shares]]/DraftData[[#This Row],[Pick]]</f>
        <v>16.400000000000002</v>
      </c>
      <c r="Z214" s="2">
        <f>DraftData[[#This Row],[Win Shares]]-_xlfn.XLOOKUP(DraftData[[#This Row],[Pick]],'Lookup Tables'!$A$2:$A$31,'Lookup Tables'!$B$2:$B$31)</f>
        <v>-1.56666666666667</v>
      </c>
    </row>
    <row r="215" spans="1:26">
      <c r="A215">
        <v>2012</v>
      </c>
      <c r="B215">
        <v>4</v>
      </c>
      <c r="C215" t="s">
        <v>148</v>
      </c>
      <c r="D215" t="s">
        <v>353</v>
      </c>
      <c r="E215" t="s">
        <v>82</v>
      </c>
      <c r="F215">
        <v>419</v>
      </c>
      <c r="G215">
        <v>11835</v>
      </c>
      <c r="H215">
        <v>5505</v>
      </c>
      <c r="I215">
        <v>1108</v>
      </c>
      <c r="J215">
        <v>1163</v>
      </c>
      <c r="K215">
        <v>0.41199999999999998</v>
      </c>
      <c r="L215">
        <v>0.34599999999999997</v>
      </c>
      <c r="M215">
        <v>0.69399999999999995</v>
      </c>
      <c r="N215">
        <v>8.8000000000000007</v>
      </c>
      <c r="O215">
        <v>3.5999999999999997E-2</v>
      </c>
      <c r="P215">
        <v>-2.1</v>
      </c>
      <c r="Q215">
        <v>-0.4</v>
      </c>
      <c r="R215">
        <v>28.2</v>
      </c>
      <c r="S215">
        <v>13.1</v>
      </c>
      <c r="T215">
        <v>2.6</v>
      </c>
      <c r="U215">
        <v>2.8</v>
      </c>
      <c r="V215" t="str">
        <f>IF(DraftData[[#This Row],[Pick]]&lt;=5,"Top 5",
IF(DraftData[[#This Row],[Pick]]&lt;=14,"Lottery",
IF(DraftData[[#This Row],[Pick]]&lt;=20,"Mid First","Late First")))</f>
        <v>Top 5</v>
      </c>
      <c r="W215" t="str">
        <f>IF(DraftData[[#This Row],[Win Shares]]&gt;=80,"Star",
IF(DraftData[[#This Row],[Win Shares]]&gt;=30,"Starter",
IF(DraftData[[#This Row],[Win Shares]]&gt;=10,"Rotation","Minimal")))</f>
        <v>Minimal</v>
      </c>
      <c r="X215" t="str">
        <f>IF(AND(DraftData[[#This Row],[Pick]]&lt;=14,DraftData[[#This Row],[Win Shares]]&lt;10),"Yes","No")</f>
        <v>Yes</v>
      </c>
      <c r="Y215" s="2">
        <f>DraftData[[#This Row],[Win Shares]]/DraftData[[#This Row],[Pick]]</f>
        <v>2.2000000000000002</v>
      </c>
      <c r="Z215" s="2">
        <f>DraftData[[#This Row],[Win Shares]]-_xlfn.XLOOKUP(DraftData[[#This Row],[Pick]],'Lookup Tables'!$A$2:$A$31,'Lookup Tables'!$B$2:$B$31)</f>
        <v>-39.75833333333334</v>
      </c>
    </row>
    <row r="216" spans="1:26">
      <c r="A216">
        <v>2012</v>
      </c>
      <c r="B216">
        <v>5</v>
      </c>
      <c r="C216" t="s">
        <v>91</v>
      </c>
      <c r="D216" t="s">
        <v>354</v>
      </c>
      <c r="E216" t="s">
        <v>107</v>
      </c>
      <c r="F216">
        <v>313</v>
      </c>
      <c r="G216">
        <v>4204</v>
      </c>
      <c r="H216">
        <v>1528</v>
      </c>
      <c r="I216">
        <v>1507</v>
      </c>
      <c r="J216">
        <v>190</v>
      </c>
      <c r="K216">
        <v>0.47</v>
      </c>
      <c r="L216">
        <v>0</v>
      </c>
      <c r="M216">
        <v>0.505</v>
      </c>
      <c r="N216">
        <v>4.5999999999999996</v>
      </c>
      <c r="O216">
        <v>5.2999999999999999E-2</v>
      </c>
      <c r="P216">
        <v>-3.5</v>
      </c>
      <c r="Q216">
        <v>-1.6</v>
      </c>
      <c r="R216">
        <v>13.4</v>
      </c>
      <c r="S216">
        <v>4.9000000000000004</v>
      </c>
      <c r="T216">
        <v>4.8</v>
      </c>
      <c r="U216">
        <v>0.6</v>
      </c>
      <c r="V216" t="str">
        <f>IF(DraftData[[#This Row],[Pick]]&lt;=5,"Top 5",
IF(DraftData[[#This Row],[Pick]]&lt;=14,"Lottery",
IF(DraftData[[#This Row],[Pick]]&lt;=20,"Mid First","Late First")))</f>
        <v>Top 5</v>
      </c>
      <c r="W216" t="str">
        <f>IF(DraftData[[#This Row],[Win Shares]]&gt;=80,"Star",
IF(DraftData[[#This Row],[Win Shares]]&gt;=30,"Starter",
IF(DraftData[[#This Row],[Win Shares]]&gt;=10,"Rotation","Minimal")))</f>
        <v>Minimal</v>
      </c>
      <c r="X216" t="str">
        <f>IF(AND(DraftData[[#This Row],[Pick]]&lt;=14,DraftData[[#This Row],[Win Shares]]&lt;10),"Yes","No")</f>
        <v>Yes</v>
      </c>
      <c r="Y216" s="2">
        <f>DraftData[[#This Row],[Win Shares]]/DraftData[[#This Row],[Pick]]</f>
        <v>0.91999999999999993</v>
      </c>
      <c r="Z216" s="2">
        <f>DraftData[[#This Row],[Win Shares]]-_xlfn.XLOOKUP(DraftData[[#This Row],[Pick]],'Lookup Tables'!$A$2:$A$31,'Lookup Tables'!$B$2:$B$31)</f>
        <v>-26.75833333333334</v>
      </c>
    </row>
    <row r="217" spans="1:26">
      <c r="A217">
        <v>2012</v>
      </c>
      <c r="B217">
        <v>6</v>
      </c>
      <c r="C217" t="s">
        <v>50</v>
      </c>
      <c r="D217" t="s">
        <v>355</v>
      </c>
      <c r="E217" t="s">
        <v>356</v>
      </c>
      <c r="F217">
        <v>711</v>
      </c>
      <c r="G217">
        <v>25835</v>
      </c>
      <c r="H217">
        <v>17510</v>
      </c>
      <c r="I217">
        <v>2976</v>
      </c>
      <c r="J217">
        <v>4726</v>
      </c>
      <c r="K217">
        <v>0.437</v>
      </c>
      <c r="L217">
        <v>0.373</v>
      </c>
      <c r="M217">
        <v>0.89300000000000002</v>
      </c>
      <c r="N217">
        <v>94.5</v>
      </c>
      <c r="O217">
        <v>0.17599999999999999</v>
      </c>
      <c r="P217">
        <v>4.7</v>
      </c>
      <c r="Q217">
        <v>43.8</v>
      </c>
      <c r="R217">
        <v>36.299999999999997</v>
      </c>
      <c r="S217">
        <v>24.6</v>
      </c>
      <c r="T217">
        <v>4.2</v>
      </c>
      <c r="U217">
        <v>6.6</v>
      </c>
      <c r="V217" t="str">
        <f>IF(DraftData[[#This Row],[Pick]]&lt;=5,"Top 5",
IF(DraftData[[#This Row],[Pick]]&lt;=14,"Lottery",
IF(DraftData[[#This Row],[Pick]]&lt;=20,"Mid First","Late First")))</f>
        <v>Lottery</v>
      </c>
      <c r="W217" t="str">
        <f>IF(DraftData[[#This Row],[Win Shares]]&gt;=80,"Star",
IF(DraftData[[#This Row],[Win Shares]]&gt;=30,"Starter",
IF(DraftData[[#This Row],[Win Shares]]&gt;=10,"Rotation","Minimal")))</f>
        <v>Star</v>
      </c>
      <c r="X217" t="str">
        <f>IF(AND(DraftData[[#This Row],[Pick]]&lt;=14,DraftData[[#This Row],[Win Shares]]&lt;10),"Yes","No")</f>
        <v>No</v>
      </c>
      <c r="Y217" s="2">
        <f>DraftData[[#This Row],[Win Shares]]/DraftData[[#This Row],[Pick]]</f>
        <v>15.75</v>
      </c>
      <c r="Z217" s="2">
        <f>DraftData[[#This Row],[Win Shares]]-_xlfn.XLOOKUP(DraftData[[#This Row],[Pick]],'Lookup Tables'!$A$2:$A$31,'Lookup Tables'!$B$2:$B$31)</f>
        <v>66.841666666666669</v>
      </c>
    </row>
    <row r="218" spans="1:26">
      <c r="A218">
        <v>2012</v>
      </c>
      <c r="B218">
        <v>7</v>
      </c>
      <c r="C218" t="s">
        <v>58</v>
      </c>
      <c r="D218" t="s">
        <v>357</v>
      </c>
      <c r="E218" t="s">
        <v>41</v>
      </c>
      <c r="F218">
        <v>725</v>
      </c>
      <c r="G218">
        <v>23028</v>
      </c>
      <c r="H218">
        <v>10235</v>
      </c>
      <c r="I218">
        <v>3720</v>
      </c>
      <c r="J218">
        <v>1326</v>
      </c>
      <c r="K218">
        <v>0.45300000000000001</v>
      </c>
      <c r="L218">
        <v>0.38</v>
      </c>
      <c r="M218">
        <v>0.80400000000000005</v>
      </c>
      <c r="N218">
        <v>43.6</v>
      </c>
      <c r="O218">
        <v>9.0999999999999998E-2</v>
      </c>
      <c r="P218">
        <v>-0.8</v>
      </c>
      <c r="Q218">
        <v>7</v>
      </c>
      <c r="R218">
        <v>31.8</v>
      </c>
      <c r="S218">
        <v>14.1</v>
      </c>
      <c r="T218">
        <v>5.0999999999999996</v>
      </c>
      <c r="U218">
        <v>1.8</v>
      </c>
      <c r="V218" t="str">
        <f>IF(DraftData[[#This Row],[Pick]]&lt;=5,"Top 5",
IF(DraftData[[#This Row],[Pick]]&lt;=14,"Lottery",
IF(DraftData[[#This Row],[Pick]]&lt;=20,"Mid First","Late First")))</f>
        <v>Lottery</v>
      </c>
      <c r="W218" t="str">
        <f>IF(DraftData[[#This Row],[Win Shares]]&gt;=80,"Star",
IF(DraftData[[#This Row],[Win Shares]]&gt;=30,"Starter",
IF(DraftData[[#This Row],[Win Shares]]&gt;=10,"Rotation","Minimal")))</f>
        <v>Starter</v>
      </c>
      <c r="X218" t="str">
        <f>IF(AND(DraftData[[#This Row],[Pick]]&lt;=14,DraftData[[#This Row],[Win Shares]]&lt;10),"Yes","No")</f>
        <v>No</v>
      </c>
      <c r="Y218" s="2">
        <f>DraftData[[#This Row],[Win Shares]]/DraftData[[#This Row],[Pick]]</f>
        <v>6.2285714285714286</v>
      </c>
      <c r="Z218" s="2">
        <f>DraftData[[#This Row],[Win Shares]]-_xlfn.XLOOKUP(DraftData[[#This Row],[Pick]],'Lookup Tables'!$A$2:$A$31,'Lookup Tables'!$B$2:$B$31)</f>
        <v>9.6249999999999929</v>
      </c>
    </row>
    <row r="219" spans="1:26">
      <c r="A219">
        <v>2012</v>
      </c>
      <c r="B219">
        <v>8</v>
      </c>
      <c r="C219" t="s">
        <v>52</v>
      </c>
      <c r="D219" t="s">
        <v>358</v>
      </c>
      <c r="E219" t="s">
        <v>88</v>
      </c>
      <c r="F219">
        <v>658</v>
      </c>
      <c r="G219">
        <v>16412</v>
      </c>
      <c r="H219">
        <v>7436</v>
      </c>
      <c r="I219">
        <v>1875</v>
      </c>
      <c r="J219">
        <v>826</v>
      </c>
      <c r="K219">
        <v>0.41799999999999998</v>
      </c>
      <c r="L219">
        <v>0.36399999999999999</v>
      </c>
      <c r="M219">
        <v>0.83899999999999997</v>
      </c>
      <c r="N219">
        <v>23.5</v>
      </c>
      <c r="O219">
        <v>6.9000000000000006E-2</v>
      </c>
      <c r="P219">
        <v>-0.9</v>
      </c>
      <c r="Q219">
        <v>4.7</v>
      </c>
      <c r="R219">
        <v>24.9</v>
      </c>
      <c r="S219">
        <v>11.3</v>
      </c>
      <c r="T219">
        <v>2.8</v>
      </c>
      <c r="U219">
        <v>1.3</v>
      </c>
      <c r="V219" t="str">
        <f>IF(DraftData[[#This Row],[Pick]]&lt;=5,"Top 5",
IF(DraftData[[#This Row],[Pick]]&lt;=14,"Lottery",
IF(DraftData[[#This Row],[Pick]]&lt;=20,"Mid First","Late First")))</f>
        <v>Lottery</v>
      </c>
      <c r="W219" t="str">
        <f>IF(DraftData[[#This Row],[Win Shares]]&gt;=80,"Star",
IF(DraftData[[#This Row],[Win Shares]]&gt;=30,"Starter",
IF(DraftData[[#This Row],[Win Shares]]&gt;=10,"Rotation","Minimal")))</f>
        <v>Rotation</v>
      </c>
      <c r="X219" t="str">
        <f>IF(AND(DraftData[[#This Row],[Pick]]&lt;=14,DraftData[[#This Row],[Win Shares]]&lt;10),"Yes","No")</f>
        <v>No</v>
      </c>
      <c r="Y219" s="2">
        <f>DraftData[[#This Row],[Win Shares]]/DraftData[[#This Row],[Pick]]</f>
        <v>2.9375</v>
      </c>
      <c r="Z219" s="2">
        <f>DraftData[[#This Row],[Win Shares]]-_xlfn.XLOOKUP(DraftData[[#This Row],[Pick]],'Lookup Tables'!$A$2:$A$31,'Lookup Tables'!$B$2:$B$31)</f>
        <v>2.3416666666666686</v>
      </c>
    </row>
    <row r="220" spans="1:26">
      <c r="A220">
        <v>2012</v>
      </c>
      <c r="B220">
        <v>9</v>
      </c>
      <c r="C220" t="s">
        <v>98</v>
      </c>
      <c r="D220" t="s">
        <v>359</v>
      </c>
      <c r="E220" t="s">
        <v>54</v>
      </c>
      <c r="F220">
        <v>697</v>
      </c>
      <c r="G220">
        <v>20799</v>
      </c>
      <c r="H220">
        <v>9684</v>
      </c>
      <c r="I220">
        <v>9309</v>
      </c>
      <c r="J220">
        <v>976</v>
      </c>
      <c r="K220">
        <v>0.53800000000000003</v>
      </c>
      <c r="L220">
        <v>0.13300000000000001</v>
      </c>
      <c r="M220">
        <v>0.47099999999999997</v>
      </c>
      <c r="N220">
        <v>65.7</v>
      </c>
      <c r="O220">
        <v>0.152</v>
      </c>
      <c r="P220">
        <v>1.3</v>
      </c>
      <c r="Q220">
        <v>17.3</v>
      </c>
      <c r="R220">
        <v>29.8</v>
      </c>
      <c r="S220">
        <v>13.9</v>
      </c>
      <c r="T220">
        <v>13.4</v>
      </c>
      <c r="U220">
        <v>1.4</v>
      </c>
      <c r="V220" t="str">
        <f>IF(DraftData[[#This Row],[Pick]]&lt;=5,"Top 5",
IF(DraftData[[#This Row],[Pick]]&lt;=14,"Lottery",
IF(DraftData[[#This Row],[Pick]]&lt;=20,"Mid First","Late First")))</f>
        <v>Lottery</v>
      </c>
      <c r="W220" t="str">
        <f>IF(DraftData[[#This Row],[Win Shares]]&gt;=80,"Star",
IF(DraftData[[#This Row],[Win Shares]]&gt;=30,"Starter",
IF(DraftData[[#This Row],[Win Shares]]&gt;=10,"Rotation","Minimal")))</f>
        <v>Starter</v>
      </c>
      <c r="X220" t="str">
        <f>IF(AND(DraftData[[#This Row],[Pick]]&lt;=14,DraftData[[#This Row],[Win Shares]]&lt;10),"Yes","No")</f>
        <v>No</v>
      </c>
      <c r="Y220" s="2">
        <f>DraftData[[#This Row],[Win Shares]]/DraftData[[#This Row],[Pick]]</f>
        <v>7.3000000000000007</v>
      </c>
      <c r="Z220" s="2">
        <f>DraftData[[#This Row],[Win Shares]]-_xlfn.XLOOKUP(DraftData[[#This Row],[Pick]],'Lookup Tables'!$A$2:$A$31,'Lookup Tables'!$B$2:$B$31)</f>
        <v>28.308333333333337</v>
      </c>
    </row>
    <row r="221" spans="1:26">
      <c r="A221">
        <v>2012</v>
      </c>
      <c r="B221">
        <v>10</v>
      </c>
      <c r="C221" t="s">
        <v>45</v>
      </c>
      <c r="D221" t="s">
        <v>360</v>
      </c>
      <c r="E221" t="s">
        <v>119</v>
      </c>
      <c r="F221">
        <v>632</v>
      </c>
      <c r="G221">
        <v>15285</v>
      </c>
      <c r="H221">
        <v>5604</v>
      </c>
      <c r="I221">
        <v>1319</v>
      </c>
      <c r="J221">
        <v>1398</v>
      </c>
      <c r="K221">
        <v>0.41799999999999998</v>
      </c>
      <c r="L221">
        <v>0.35</v>
      </c>
      <c r="M221">
        <v>0.64700000000000002</v>
      </c>
      <c r="N221">
        <v>13.3</v>
      </c>
      <c r="O221">
        <v>4.2000000000000003E-2</v>
      </c>
      <c r="P221">
        <v>-3</v>
      </c>
      <c r="Q221">
        <v>-3.9</v>
      </c>
      <c r="R221">
        <v>24.2</v>
      </c>
      <c r="S221">
        <v>8.9</v>
      </c>
      <c r="T221">
        <v>2.1</v>
      </c>
      <c r="U221">
        <v>2.2000000000000002</v>
      </c>
      <c r="V221" t="str">
        <f>IF(DraftData[[#This Row],[Pick]]&lt;=5,"Top 5",
IF(DraftData[[#This Row],[Pick]]&lt;=14,"Lottery",
IF(DraftData[[#This Row],[Pick]]&lt;=20,"Mid First","Late First")))</f>
        <v>Lottery</v>
      </c>
      <c r="W221" t="str">
        <f>IF(DraftData[[#This Row],[Win Shares]]&gt;=80,"Star",
IF(DraftData[[#This Row],[Win Shares]]&gt;=30,"Starter",
IF(DraftData[[#This Row],[Win Shares]]&gt;=10,"Rotation","Minimal")))</f>
        <v>Rotation</v>
      </c>
      <c r="X221" t="str">
        <f>IF(AND(DraftData[[#This Row],[Pick]]&lt;=14,DraftData[[#This Row],[Win Shares]]&lt;10),"Yes","No")</f>
        <v>No</v>
      </c>
      <c r="Y221" s="2">
        <f>DraftData[[#This Row],[Win Shares]]/DraftData[[#This Row],[Pick]]</f>
        <v>1.33</v>
      </c>
      <c r="Z221" s="2">
        <f>DraftData[[#This Row],[Win Shares]]-_xlfn.XLOOKUP(DraftData[[#This Row],[Pick]],'Lookup Tables'!$A$2:$A$31,'Lookup Tables'!$B$2:$B$31)</f>
        <v>-13.549999999999997</v>
      </c>
    </row>
    <row r="222" spans="1:26">
      <c r="A222">
        <v>2012</v>
      </c>
      <c r="B222">
        <v>11</v>
      </c>
      <c r="C222" t="s">
        <v>50</v>
      </c>
      <c r="D222" t="s">
        <v>361</v>
      </c>
      <c r="E222" t="s">
        <v>44</v>
      </c>
      <c r="F222">
        <v>447</v>
      </c>
      <c r="G222">
        <v>7158</v>
      </c>
      <c r="H222">
        <v>2502</v>
      </c>
      <c r="I222">
        <v>1737</v>
      </c>
      <c r="J222">
        <v>395</v>
      </c>
      <c r="K222">
        <v>0.48199999999999998</v>
      </c>
      <c r="L222">
        <v>0.39</v>
      </c>
      <c r="M222">
        <v>0.80900000000000005</v>
      </c>
      <c r="N222">
        <v>15.5</v>
      </c>
      <c r="O222">
        <v>0.104</v>
      </c>
      <c r="P222">
        <v>-1.4</v>
      </c>
      <c r="Q222">
        <v>1.1000000000000001</v>
      </c>
      <c r="R222">
        <v>16</v>
      </c>
      <c r="S222">
        <v>5.6</v>
      </c>
      <c r="T222">
        <v>3.9</v>
      </c>
      <c r="U222">
        <v>0.9</v>
      </c>
      <c r="V222" t="str">
        <f>IF(DraftData[[#This Row],[Pick]]&lt;=5,"Top 5",
IF(DraftData[[#This Row],[Pick]]&lt;=14,"Lottery",
IF(DraftData[[#This Row],[Pick]]&lt;=20,"Mid First","Late First")))</f>
        <v>Lottery</v>
      </c>
      <c r="W222" t="str">
        <f>IF(DraftData[[#This Row],[Win Shares]]&gt;=80,"Star",
IF(DraftData[[#This Row],[Win Shares]]&gt;=30,"Starter",
IF(DraftData[[#This Row],[Win Shares]]&gt;=10,"Rotation","Minimal")))</f>
        <v>Rotation</v>
      </c>
      <c r="X222" t="str">
        <f>IF(AND(DraftData[[#This Row],[Pick]]&lt;=14,DraftData[[#This Row],[Win Shares]]&lt;10),"Yes","No")</f>
        <v>No</v>
      </c>
      <c r="Y222" s="2">
        <f>DraftData[[#This Row],[Win Shares]]/DraftData[[#This Row],[Pick]]</f>
        <v>1.4090909090909092</v>
      </c>
      <c r="Z222" s="2">
        <f>DraftData[[#This Row],[Win Shares]]-_xlfn.XLOOKUP(DraftData[[#This Row],[Pick]],'Lookup Tables'!$A$2:$A$31,'Lookup Tables'!$B$2:$B$31)</f>
        <v>-7.1999999999999993</v>
      </c>
    </row>
    <row r="223" spans="1:26">
      <c r="A223">
        <v>2012</v>
      </c>
      <c r="B223">
        <v>12</v>
      </c>
      <c r="C223" t="s">
        <v>94</v>
      </c>
      <c r="D223" t="s">
        <v>362</v>
      </c>
      <c r="E223" t="s">
        <v>54</v>
      </c>
      <c r="F223">
        <v>557</v>
      </c>
      <c r="G223">
        <v>11605</v>
      </c>
      <c r="H223">
        <v>5685</v>
      </c>
      <c r="I223">
        <v>2019</v>
      </c>
      <c r="J223">
        <v>879</v>
      </c>
      <c r="K223">
        <v>0.44</v>
      </c>
      <c r="L223">
        <v>0.34399999999999997</v>
      </c>
      <c r="M223">
        <v>0.85699999999999998</v>
      </c>
      <c r="N223">
        <v>26.7</v>
      </c>
      <c r="O223">
        <v>0.11</v>
      </c>
      <c r="P223">
        <v>0.7</v>
      </c>
      <c r="Q223">
        <v>7.9</v>
      </c>
      <c r="R223">
        <v>20.8</v>
      </c>
      <c r="S223">
        <v>10.199999999999999</v>
      </c>
      <c r="T223">
        <v>3.6</v>
      </c>
      <c r="U223">
        <v>1.6</v>
      </c>
      <c r="V223" t="str">
        <f>IF(DraftData[[#This Row],[Pick]]&lt;=5,"Top 5",
IF(DraftData[[#This Row],[Pick]]&lt;=14,"Lottery",
IF(DraftData[[#This Row],[Pick]]&lt;=20,"Mid First","Late First")))</f>
        <v>Lottery</v>
      </c>
      <c r="W223" t="str">
        <f>IF(DraftData[[#This Row],[Win Shares]]&gt;=80,"Star",
IF(DraftData[[#This Row],[Win Shares]]&gt;=30,"Starter",
IF(DraftData[[#This Row],[Win Shares]]&gt;=10,"Rotation","Minimal")))</f>
        <v>Rotation</v>
      </c>
      <c r="X223" t="str">
        <f>IF(AND(DraftData[[#This Row],[Pick]]&lt;=14,DraftData[[#This Row],[Win Shares]]&lt;10),"Yes","No")</f>
        <v>No</v>
      </c>
      <c r="Y223" s="2">
        <f>DraftData[[#This Row],[Win Shares]]/DraftData[[#This Row],[Pick]]</f>
        <v>2.2250000000000001</v>
      </c>
      <c r="Z223" s="2">
        <f>DraftData[[#This Row],[Win Shares]]-_xlfn.XLOOKUP(DraftData[[#This Row],[Pick]],'Lookup Tables'!$A$2:$A$31,'Lookup Tables'!$B$2:$B$31)</f>
        <v>5.3833333333333329</v>
      </c>
    </row>
    <row r="224" spans="1:26">
      <c r="A224">
        <v>2012</v>
      </c>
      <c r="B224">
        <v>13</v>
      </c>
      <c r="C224" t="s">
        <v>86</v>
      </c>
      <c r="D224" t="s">
        <v>363</v>
      </c>
      <c r="E224" t="s">
        <v>41</v>
      </c>
      <c r="F224">
        <v>160</v>
      </c>
      <c r="G224">
        <v>3083</v>
      </c>
      <c r="H224">
        <v>802</v>
      </c>
      <c r="I224">
        <v>253</v>
      </c>
      <c r="J224">
        <v>779</v>
      </c>
      <c r="K224">
        <v>0.39900000000000002</v>
      </c>
      <c r="L224">
        <v>0.37</v>
      </c>
      <c r="M224">
        <v>0.61099999999999999</v>
      </c>
      <c r="N224">
        <v>1</v>
      </c>
      <c r="O224">
        <v>1.4999999999999999E-2</v>
      </c>
      <c r="P224">
        <v>-3.5</v>
      </c>
      <c r="Q224">
        <v>-1.1000000000000001</v>
      </c>
      <c r="R224">
        <v>19.3</v>
      </c>
      <c r="S224">
        <v>5</v>
      </c>
      <c r="T224">
        <v>1.6</v>
      </c>
      <c r="U224">
        <v>4.9000000000000004</v>
      </c>
      <c r="V224" t="str">
        <f>IF(DraftData[[#This Row],[Pick]]&lt;=5,"Top 5",
IF(DraftData[[#This Row],[Pick]]&lt;=14,"Lottery",
IF(DraftData[[#This Row],[Pick]]&lt;=20,"Mid First","Late First")))</f>
        <v>Lottery</v>
      </c>
      <c r="W224" t="str">
        <f>IF(DraftData[[#This Row],[Win Shares]]&gt;=80,"Star",
IF(DraftData[[#This Row],[Win Shares]]&gt;=30,"Starter",
IF(DraftData[[#This Row],[Win Shares]]&gt;=10,"Rotation","Minimal")))</f>
        <v>Minimal</v>
      </c>
      <c r="X224" t="str">
        <f>IF(AND(DraftData[[#This Row],[Pick]]&lt;=14,DraftData[[#This Row],[Win Shares]]&lt;10),"Yes","No")</f>
        <v>Yes</v>
      </c>
      <c r="Y224" s="2">
        <f>DraftData[[#This Row],[Win Shares]]/DraftData[[#This Row],[Pick]]</f>
        <v>7.6923076923076927E-2</v>
      </c>
      <c r="Z224" s="2">
        <f>DraftData[[#This Row],[Win Shares]]-_xlfn.XLOOKUP(DraftData[[#This Row],[Pick]],'Lookup Tables'!$A$2:$A$31,'Lookup Tables'!$B$2:$B$31)</f>
        <v>-18.333333333333332</v>
      </c>
    </row>
    <row r="225" spans="1:26">
      <c r="A225">
        <v>2012</v>
      </c>
      <c r="B225">
        <v>14</v>
      </c>
      <c r="C225" t="s">
        <v>36</v>
      </c>
      <c r="D225" t="s">
        <v>364</v>
      </c>
      <c r="E225" t="s">
        <v>41</v>
      </c>
      <c r="F225">
        <v>445</v>
      </c>
      <c r="G225">
        <v>8752</v>
      </c>
      <c r="H225">
        <v>3383</v>
      </c>
      <c r="I225">
        <v>2368</v>
      </c>
      <c r="J225">
        <v>496</v>
      </c>
      <c r="K225">
        <v>0.54</v>
      </c>
      <c r="L225">
        <v>0.25</v>
      </c>
      <c r="M225">
        <v>0.56799999999999995</v>
      </c>
      <c r="N225">
        <v>20.7</v>
      </c>
      <c r="O225">
        <v>0.113</v>
      </c>
      <c r="P225">
        <v>-0.5</v>
      </c>
      <c r="Q225">
        <v>3.4</v>
      </c>
      <c r="R225">
        <v>19.7</v>
      </c>
      <c r="S225">
        <v>7.6</v>
      </c>
      <c r="T225">
        <v>5.3</v>
      </c>
      <c r="U225">
        <v>1.1000000000000001</v>
      </c>
      <c r="V225" t="str">
        <f>IF(DraftData[[#This Row],[Pick]]&lt;=5,"Top 5",
IF(DraftData[[#This Row],[Pick]]&lt;=14,"Lottery",
IF(DraftData[[#This Row],[Pick]]&lt;=20,"Mid First","Late First")))</f>
        <v>Lottery</v>
      </c>
      <c r="W225" t="str">
        <f>IF(DraftData[[#This Row],[Win Shares]]&gt;=80,"Star",
IF(DraftData[[#This Row],[Win Shares]]&gt;=30,"Starter",
IF(DraftData[[#This Row],[Win Shares]]&gt;=10,"Rotation","Minimal")))</f>
        <v>Rotation</v>
      </c>
      <c r="X225" t="str">
        <f>IF(AND(DraftData[[#This Row],[Pick]]&lt;=14,DraftData[[#This Row],[Win Shares]]&lt;10),"Yes","No")</f>
        <v>No</v>
      </c>
      <c r="Y225" s="2">
        <f>DraftData[[#This Row],[Win Shares]]/DraftData[[#This Row],[Pick]]</f>
        <v>1.4785714285714284</v>
      </c>
      <c r="Z225" s="2">
        <f>DraftData[[#This Row],[Win Shares]]-_xlfn.XLOOKUP(DraftData[[#This Row],[Pick]],'Lookup Tables'!$A$2:$A$31,'Lookup Tables'!$B$2:$B$31)</f>
        <v>5.9500000000000011</v>
      </c>
    </row>
    <row r="226" spans="1:26">
      <c r="A226">
        <v>2012</v>
      </c>
      <c r="B226">
        <v>15</v>
      </c>
      <c r="C226" t="s">
        <v>129</v>
      </c>
      <c r="D226" t="s">
        <v>365</v>
      </c>
      <c r="E226" t="s">
        <v>366</v>
      </c>
      <c r="F226">
        <v>615</v>
      </c>
      <c r="G226">
        <v>13971</v>
      </c>
      <c r="H226">
        <v>4250</v>
      </c>
      <c r="I226">
        <v>2191</v>
      </c>
      <c r="J226">
        <v>571</v>
      </c>
      <c r="K226">
        <v>0.47399999999999998</v>
      </c>
      <c r="L226">
        <v>0.32</v>
      </c>
      <c r="M226">
        <v>0.624</v>
      </c>
      <c r="N226">
        <v>22.9</v>
      </c>
      <c r="O226">
        <v>7.9000000000000001E-2</v>
      </c>
      <c r="P226">
        <v>-0.8</v>
      </c>
      <c r="Q226">
        <v>4.0999999999999996</v>
      </c>
      <c r="R226">
        <v>22.7</v>
      </c>
      <c r="S226">
        <v>6.9</v>
      </c>
      <c r="T226">
        <v>3.6</v>
      </c>
      <c r="U226">
        <v>0.9</v>
      </c>
      <c r="V226" t="str">
        <f>IF(DraftData[[#This Row],[Pick]]&lt;=5,"Top 5",
IF(DraftData[[#This Row],[Pick]]&lt;=14,"Lottery",
IF(DraftData[[#This Row],[Pick]]&lt;=20,"Mid First","Late First")))</f>
        <v>Mid First</v>
      </c>
      <c r="W226" t="str">
        <f>IF(DraftData[[#This Row],[Win Shares]]&gt;=80,"Star",
IF(DraftData[[#This Row],[Win Shares]]&gt;=30,"Starter",
IF(DraftData[[#This Row],[Win Shares]]&gt;=10,"Rotation","Minimal")))</f>
        <v>Rotation</v>
      </c>
      <c r="X226" t="str">
        <f>IF(AND(DraftData[[#This Row],[Pick]]&lt;=14,DraftData[[#This Row],[Win Shares]]&lt;10),"Yes","No")</f>
        <v>No</v>
      </c>
      <c r="Y226" s="2">
        <f>DraftData[[#This Row],[Win Shares]]/DraftData[[#This Row],[Pick]]</f>
        <v>1.5266666666666666</v>
      </c>
      <c r="Z226" s="2">
        <f>DraftData[[#This Row],[Win Shares]]-_xlfn.XLOOKUP(DraftData[[#This Row],[Pick]],'Lookup Tables'!$A$2:$A$31,'Lookup Tables'!$B$2:$B$31)</f>
        <v>-2.8833333333333329</v>
      </c>
    </row>
    <row r="227" spans="1:26">
      <c r="A227">
        <v>2012</v>
      </c>
      <c r="B227">
        <v>16</v>
      </c>
      <c r="C227" t="s">
        <v>94</v>
      </c>
      <c r="D227" t="s">
        <v>367</v>
      </c>
      <c r="E227" t="s">
        <v>296</v>
      </c>
      <c r="F227">
        <v>3</v>
      </c>
      <c r="G227">
        <v>9</v>
      </c>
      <c r="H227">
        <v>0</v>
      </c>
      <c r="I227">
        <v>0</v>
      </c>
      <c r="J227">
        <v>0</v>
      </c>
      <c r="K227">
        <v>0</v>
      </c>
      <c r="N227">
        <v>0</v>
      </c>
      <c r="O227">
        <v>-0.121</v>
      </c>
      <c r="P227">
        <v>-16.899999999999999</v>
      </c>
      <c r="Q227">
        <v>0</v>
      </c>
      <c r="R227">
        <v>3</v>
      </c>
      <c r="S227">
        <v>0</v>
      </c>
      <c r="T227">
        <v>0</v>
      </c>
      <c r="U227">
        <v>0</v>
      </c>
      <c r="V227" t="str">
        <f>IF(DraftData[[#This Row],[Pick]]&lt;=5,"Top 5",
IF(DraftData[[#This Row],[Pick]]&lt;=14,"Lottery",
IF(DraftData[[#This Row],[Pick]]&lt;=20,"Mid First","Late First")))</f>
        <v>Mid First</v>
      </c>
      <c r="W227" t="str">
        <f>IF(DraftData[[#This Row],[Win Shares]]&gt;=80,"Star",
IF(DraftData[[#This Row],[Win Shares]]&gt;=30,"Starter",
IF(DraftData[[#This Row],[Win Shares]]&gt;=10,"Rotation","Minimal")))</f>
        <v>Minimal</v>
      </c>
      <c r="X227" t="str">
        <f>IF(AND(DraftData[[#This Row],[Pick]]&lt;=14,DraftData[[#This Row],[Win Shares]]&lt;10),"Yes","No")</f>
        <v>No</v>
      </c>
      <c r="Y227" s="2">
        <f>DraftData[[#This Row],[Win Shares]]/DraftData[[#This Row],[Pick]]</f>
        <v>0</v>
      </c>
      <c r="Z227" s="2">
        <f>DraftData[[#This Row],[Win Shares]]-_xlfn.XLOOKUP(DraftData[[#This Row],[Pick]],'Lookup Tables'!$A$2:$A$31,'Lookup Tables'!$B$2:$B$31)</f>
        <v>-16.983333333333334</v>
      </c>
    </row>
    <row r="228" spans="1:26">
      <c r="A228">
        <v>2012</v>
      </c>
      <c r="B228">
        <v>17</v>
      </c>
      <c r="C228" t="s">
        <v>154</v>
      </c>
      <c r="D228" t="s">
        <v>368</v>
      </c>
      <c r="E228" t="s">
        <v>41</v>
      </c>
      <c r="F228">
        <v>414</v>
      </c>
      <c r="G228">
        <v>7254</v>
      </c>
      <c r="H228">
        <v>2873</v>
      </c>
      <c r="I228">
        <v>1820</v>
      </c>
      <c r="J228">
        <v>367</v>
      </c>
      <c r="K228">
        <v>0.50800000000000001</v>
      </c>
      <c r="L228">
        <v>0.28599999999999998</v>
      </c>
      <c r="M228">
        <v>0.76400000000000001</v>
      </c>
      <c r="N228">
        <v>17.100000000000001</v>
      </c>
      <c r="O228">
        <v>0.113</v>
      </c>
      <c r="P228">
        <v>-2</v>
      </c>
      <c r="Q228">
        <v>0</v>
      </c>
      <c r="R228">
        <v>17.5</v>
      </c>
      <c r="S228">
        <v>6.9</v>
      </c>
      <c r="T228">
        <v>4.4000000000000004</v>
      </c>
      <c r="U228">
        <v>0.9</v>
      </c>
      <c r="V228" t="str">
        <f>IF(DraftData[[#This Row],[Pick]]&lt;=5,"Top 5",
IF(DraftData[[#This Row],[Pick]]&lt;=14,"Lottery",
IF(DraftData[[#This Row],[Pick]]&lt;=20,"Mid First","Late First")))</f>
        <v>Mid First</v>
      </c>
      <c r="W228" t="str">
        <f>IF(DraftData[[#This Row],[Win Shares]]&gt;=80,"Star",
IF(DraftData[[#This Row],[Win Shares]]&gt;=30,"Starter",
IF(DraftData[[#This Row],[Win Shares]]&gt;=10,"Rotation","Minimal")))</f>
        <v>Rotation</v>
      </c>
      <c r="X228" t="str">
        <f>IF(AND(DraftData[[#This Row],[Pick]]&lt;=14,DraftData[[#This Row],[Win Shares]]&lt;10),"Yes","No")</f>
        <v>No</v>
      </c>
      <c r="Y228" s="2">
        <f>DraftData[[#This Row],[Win Shares]]/DraftData[[#This Row],[Pick]]</f>
        <v>1.0058823529411764</v>
      </c>
      <c r="Z228" s="2">
        <f>DraftData[[#This Row],[Win Shares]]-_xlfn.XLOOKUP(DraftData[[#This Row],[Pick]],'Lookup Tables'!$A$2:$A$31,'Lookup Tables'!$B$2:$B$31)</f>
        <v>-0.21666666666666501</v>
      </c>
    </row>
    <row r="229" spans="1:26">
      <c r="A229">
        <v>2012</v>
      </c>
      <c r="B229">
        <v>18</v>
      </c>
      <c r="C229" t="s">
        <v>94</v>
      </c>
      <c r="D229" t="s">
        <v>369</v>
      </c>
      <c r="E229" t="s">
        <v>144</v>
      </c>
      <c r="F229">
        <v>234</v>
      </c>
      <c r="G229">
        <v>5562</v>
      </c>
      <c r="H229">
        <v>2431</v>
      </c>
      <c r="I229">
        <v>1334</v>
      </c>
      <c r="J229">
        <v>238</v>
      </c>
      <c r="K229">
        <v>0.501</v>
      </c>
      <c r="L229">
        <v>0.29699999999999999</v>
      </c>
      <c r="M229">
        <v>0.621</v>
      </c>
      <c r="N229">
        <v>14.7</v>
      </c>
      <c r="O229">
        <v>0.127</v>
      </c>
      <c r="P229">
        <v>0.5</v>
      </c>
      <c r="Q229">
        <v>3.6</v>
      </c>
      <c r="R229">
        <v>23.8</v>
      </c>
      <c r="S229">
        <v>10.4</v>
      </c>
      <c r="T229">
        <v>5.7</v>
      </c>
      <c r="U229">
        <v>1</v>
      </c>
      <c r="V229" t="str">
        <f>IF(DraftData[[#This Row],[Pick]]&lt;=5,"Top 5",
IF(DraftData[[#This Row],[Pick]]&lt;=14,"Lottery",
IF(DraftData[[#This Row],[Pick]]&lt;=20,"Mid First","Late First")))</f>
        <v>Mid First</v>
      </c>
      <c r="W229" t="str">
        <f>IF(DraftData[[#This Row],[Win Shares]]&gt;=80,"Star",
IF(DraftData[[#This Row],[Win Shares]]&gt;=30,"Starter",
IF(DraftData[[#This Row],[Win Shares]]&gt;=10,"Rotation","Minimal")))</f>
        <v>Rotation</v>
      </c>
      <c r="X229" t="str">
        <f>IF(AND(DraftData[[#This Row],[Pick]]&lt;=14,DraftData[[#This Row],[Win Shares]]&lt;10),"Yes","No")</f>
        <v>No</v>
      </c>
      <c r="Y229" s="2">
        <f>DraftData[[#This Row],[Win Shares]]/DraftData[[#This Row],[Pick]]</f>
        <v>0.81666666666666665</v>
      </c>
      <c r="Z229" s="2">
        <f>DraftData[[#This Row],[Win Shares]]-_xlfn.XLOOKUP(DraftData[[#This Row],[Pick]],'Lookup Tables'!$A$2:$A$31,'Lookup Tables'!$B$2:$B$31)</f>
        <v>-2.6083333333333343</v>
      </c>
    </row>
    <row r="230" spans="1:26">
      <c r="A230">
        <v>2012</v>
      </c>
      <c r="B230">
        <v>19</v>
      </c>
      <c r="C230" t="s">
        <v>63</v>
      </c>
      <c r="D230" t="s">
        <v>370</v>
      </c>
      <c r="E230" t="s">
        <v>371</v>
      </c>
      <c r="F230">
        <v>285</v>
      </c>
      <c r="G230">
        <v>4080</v>
      </c>
      <c r="H230">
        <v>1700</v>
      </c>
      <c r="I230">
        <v>857</v>
      </c>
      <c r="J230">
        <v>126</v>
      </c>
      <c r="K230">
        <v>0.46700000000000003</v>
      </c>
      <c r="L230">
        <v>0.32100000000000001</v>
      </c>
      <c r="M230">
        <v>0.77300000000000002</v>
      </c>
      <c r="N230">
        <v>3.8</v>
      </c>
      <c r="O230">
        <v>4.4999999999999998E-2</v>
      </c>
      <c r="P230">
        <v>-3.6</v>
      </c>
      <c r="Q230">
        <v>-1.6</v>
      </c>
      <c r="R230">
        <v>14.3</v>
      </c>
      <c r="S230">
        <v>6</v>
      </c>
      <c r="T230">
        <v>3</v>
      </c>
      <c r="U230">
        <v>0.4</v>
      </c>
      <c r="V230" t="str">
        <f>IF(DraftData[[#This Row],[Pick]]&lt;=5,"Top 5",
IF(DraftData[[#This Row],[Pick]]&lt;=14,"Lottery",
IF(DraftData[[#This Row],[Pick]]&lt;=20,"Mid First","Late First")))</f>
        <v>Mid First</v>
      </c>
      <c r="W230" t="str">
        <f>IF(DraftData[[#This Row],[Win Shares]]&gt;=80,"Star",
IF(DraftData[[#This Row],[Win Shares]]&gt;=30,"Starter",
IF(DraftData[[#This Row],[Win Shares]]&gt;=10,"Rotation","Minimal")))</f>
        <v>Minimal</v>
      </c>
      <c r="X230" t="str">
        <f>IF(AND(DraftData[[#This Row],[Pick]]&lt;=14,DraftData[[#This Row],[Win Shares]]&lt;10),"Yes","No")</f>
        <v>No</v>
      </c>
      <c r="Y230" s="2">
        <f>DraftData[[#This Row],[Win Shares]]/DraftData[[#This Row],[Pick]]</f>
        <v>0.19999999999999998</v>
      </c>
      <c r="Z230" s="2">
        <f>DraftData[[#This Row],[Win Shares]]-_xlfn.XLOOKUP(DraftData[[#This Row],[Pick]],'Lookup Tables'!$A$2:$A$31,'Lookup Tables'!$B$2:$B$31)</f>
        <v>-13.775000000000002</v>
      </c>
    </row>
    <row r="231" spans="1:26">
      <c r="A231">
        <v>2012</v>
      </c>
      <c r="B231">
        <v>20</v>
      </c>
      <c r="C231" t="s">
        <v>83</v>
      </c>
      <c r="D231" t="s">
        <v>372</v>
      </c>
      <c r="F231">
        <v>622</v>
      </c>
      <c r="G231">
        <v>17798</v>
      </c>
      <c r="H231">
        <v>8923</v>
      </c>
      <c r="I231">
        <v>1729</v>
      </c>
      <c r="J231">
        <v>1610</v>
      </c>
      <c r="K231">
        <v>0.44700000000000001</v>
      </c>
      <c r="L231">
        <v>0.38100000000000001</v>
      </c>
      <c r="M231">
        <v>0.80100000000000005</v>
      </c>
      <c r="N231">
        <v>29.4</v>
      </c>
      <c r="O231">
        <v>7.9000000000000001E-2</v>
      </c>
      <c r="P231">
        <v>-0.9</v>
      </c>
      <c r="Q231">
        <v>4.7</v>
      </c>
      <c r="R231">
        <v>28.6</v>
      </c>
      <c r="S231">
        <v>14.3</v>
      </c>
      <c r="T231">
        <v>2.8</v>
      </c>
      <c r="U231">
        <v>2.6</v>
      </c>
      <c r="V231" t="str">
        <f>IF(DraftData[[#This Row],[Pick]]&lt;=5,"Top 5",
IF(DraftData[[#This Row],[Pick]]&lt;=14,"Lottery",
IF(DraftData[[#This Row],[Pick]]&lt;=20,"Mid First","Late First")))</f>
        <v>Mid First</v>
      </c>
      <c r="W231" t="str">
        <f>IF(DraftData[[#This Row],[Win Shares]]&gt;=80,"Star",
IF(DraftData[[#This Row],[Win Shares]]&gt;=30,"Starter",
IF(DraftData[[#This Row],[Win Shares]]&gt;=10,"Rotation","Minimal")))</f>
        <v>Rotation</v>
      </c>
      <c r="X231" t="str">
        <f>IF(AND(DraftData[[#This Row],[Pick]]&lt;=14,DraftData[[#This Row],[Win Shares]]&lt;10),"Yes","No")</f>
        <v>No</v>
      </c>
      <c r="Y231" s="2">
        <f>DraftData[[#This Row],[Win Shares]]/DraftData[[#This Row],[Pick]]</f>
        <v>1.47</v>
      </c>
      <c r="Z231" s="2">
        <f>DraftData[[#This Row],[Win Shares]]-_xlfn.XLOOKUP(DraftData[[#This Row],[Pick]],'Lookup Tables'!$A$2:$A$31,'Lookup Tables'!$B$2:$B$31)</f>
        <v>19.008333333333333</v>
      </c>
    </row>
    <row r="232" spans="1:26">
      <c r="A232">
        <v>2012</v>
      </c>
      <c r="B232">
        <v>21</v>
      </c>
      <c r="C232" t="s">
        <v>78</v>
      </c>
      <c r="D232" t="s">
        <v>373</v>
      </c>
      <c r="E232" t="s">
        <v>160</v>
      </c>
      <c r="F232">
        <v>269</v>
      </c>
      <c r="G232">
        <v>6532</v>
      </c>
      <c r="H232">
        <v>2893</v>
      </c>
      <c r="I232">
        <v>2006</v>
      </c>
      <c r="J232">
        <v>477</v>
      </c>
      <c r="K232">
        <v>0.436</v>
      </c>
      <c r="L232">
        <v>0.27200000000000002</v>
      </c>
      <c r="M232">
        <v>0.72299999999999998</v>
      </c>
      <c r="N232">
        <v>15.3</v>
      </c>
      <c r="O232">
        <v>0.113</v>
      </c>
      <c r="P232">
        <v>-0.4</v>
      </c>
      <c r="Q232">
        <v>2.7</v>
      </c>
      <c r="R232">
        <v>24.3</v>
      </c>
      <c r="S232">
        <v>10.8</v>
      </c>
      <c r="T232">
        <v>7.5</v>
      </c>
      <c r="U232">
        <v>1.8</v>
      </c>
      <c r="V232" t="str">
        <f>IF(DraftData[[#This Row],[Pick]]&lt;=5,"Top 5",
IF(DraftData[[#This Row],[Pick]]&lt;=14,"Lottery",
IF(DraftData[[#This Row],[Pick]]&lt;=20,"Mid First","Late First")))</f>
        <v>Late First</v>
      </c>
      <c r="W232" t="str">
        <f>IF(DraftData[[#This Row],[Win Shares]]&gt;=80,"Star",
IF(DraftData[[#This Row],[Win Shares]]&gt;=30,"Starter",
IF(DraftData[[#This Row],[Win Shares]]&gt;=10,"Rotation","Minimal")))</f>
        <v>Rotation</v>
      </c>
      <c r="X232" t="str">
        <f>IF(AND(DraftData[[#This Row],[Pick]]&lt;=14,DraftData[[#This Row],[Win Shares]]&lt;10),"Yes","No")</f>
        <v>No</v>
      </c>
      <c r="Y232" s="2">
        <f>DraftData[[#This Row],[Win Shares]]/DraftData[[#This Row],[Pick]]</f>
        <v>0.72857142857142865</v>
      </c>
      <c r="Z232" s="2">
        <f>DraftData[[#This Row],[Win Shares]]-_xlfn.XLOOKUP(DraftData[[#This Row],[Pick]],'Lookup Tables'!$A$2:$A$31,'Lookup Tables'!$B$2:$B$31)</f>
        <v>-5.2000000000000028</v>
      </c>
    </row>
    <row r="233" spans="1:26">
      <c r="A233">
        <v>2012</v>
      </c>
      <c r="B233">
        <v>22</v>
      </c>
      <c r="C233" t="s">
        <v>78</v>
      </c>
      <c r="D233" t="s">
        <v>374</v>
      </c>
      <c r="E233" t="s">
        <v>82</v>
      </c>
      <c r="F233">
        <v>6</v>
      </c>
      <c r="G233">
        <v>36</v>
      </c>
      <c r="H233">
        <v>7</v>
      </c>
      <c r="I233">
        <v>3</v>
      </c>
      <c r="J233">
        <v>0</v>
      </c>
      <c r="K233">
        <v>0.5</v>
      </c>
      <c r="M233">
        <v>0.25</v>
      </c>
      <c r="N233">
        <v>0</v>
      </c>
      <c r="O233">
        <v>2.1000000000000001E-2</v>
      </c>
      <c r="P233">
        <v>-7.6</v>
      </c>
      <c r="Q233">
        <v>-0.1</v>
      </c>
      <c r="R233">
        <v>6</v>
      </c>
      <c r="S233">
        <v>1.2</v>
      </c>
      <c r="T233">
        <v>0.5</v>
      </c>
      <c r="U233">
        <v>0</v>
      </c>
      <c r="V233" t="str">
        <f>IF(DraftData[[#This Row],[Pick]]&lt;=5,"Top 5",
IF(DraftData[[#This Row],[Pick]]&lt;=14,"Lottery",
IF(DraftData[[#This Row],[Pick]]&lt;=20,"Mid First","Late First")))</f>
        <v>Late First</v>
      </c>
      <c r="W233" t="str">
        <f>IF(DraftData[[#This Row],[Win Shares]]&gt;=80,"Star",
IF(DraftData[[#This Row],[Win Shares]]&gt;=30,"Starter",
IF(DraftData[[#This Row],[Win Shares]]&gt;=10,"Rotation","Minimal")))</f>
        <v>Minimal</v>
      </c>
      <c r="X233" t="str">
        <f>IF(AND(DraftData[[#This Row],[Pick]]&lt;=14,DraftData[[#This Row],[Win Shares]]&lt;10),"Yes","No")</f>
        <v>No</v>
      </c>
      <c r="Y233" s="2">
        <f>DraftData[[#This Row],[Win Shares]]/DraftData[[#This Row],[Pick]]</f>
        <v>0</v>
      </c>
      <c r="Z233" s="2">
        <f>DraftData[[#This Row],[Win Shares]]-_xlfn.XLOOKUP(DraftData[[#This Row],[Pick]],'Lookup Tables'!$A$2:$A$31,'Lookup Tables'!$B$2:$B$31)</f>
        <v>-18.483333333333338</v>
      </c>
    </row>
    <row r="234" spans="1:26">
      <c r="A234">
        <v>2012</v>
      </c>
      <c r="B234">
        <v>23</v>
      </c>
      <c r="C234" t="s">
        <v>39</v>
      </c>
      <c r="D234" t="s">
        <v>375</v>
      </c>
      <c r="E234" t="s">
        <v>376</v>
      </c>
      <c r="F234">
        <v>171</v>
      </c>
      <c r="G234">
        <v>2183</v>
      </c>
      <c r="H234">
        <v>855</v>
      </c>
      <c r="I234">
        <v>250</v>
      </c>
      <c r="J234">
        <v>138</v>
      </c>
      <c r="K234">
        <v>0.441</v>
      </c>
      <c r="L234">
        <v>0.36699999999999999</v>
      </c>
      <c r="M234">
        <v>0.84699999999999998</v>
      </c>
      <c r="N234">
        <v>3</v>
      </c>
      <c r="O234">
        <v>6.5000000000000002E-2</v>
      </c>
      <c r="P234">
        <v>-1.9</v>
      </c>
      <c r="Q234">
        <v>0.1</v>
      </c>
      <c r="R234">
        <v>12.8</v>
      </c>
      <c r="S234">
        <v>5</v>
      </c>
      <c r="T234">
        <v>1.5</v>
      </c>
      <c r="U234">
        <v>0.8</v>
      </c>
      <c r="V234" t="str">
        <f>IF(DraftData[[#This Row],[Pick]]&lt;=5,"Top 5",
IF(DraftData[[#This Row],[Pick]]&lt;=14,"Lottery",
IF(DraftData[[#This Row],[Pick]]&lt;=20,"Mid First","Late First")))</f>
        <v>Late First</v>
      </c>
      <c r="W234" t="str">
        <f>IF(DraftData[[#This Row],[Win Shares]]&gt;=80,"Star",
IF(DraftData[[#This Row],[Win Shares]]&gt;=30,"Starter",
IF(DraftData[[#This Row],[Win Shares]]&gt;=10,"Rotation","Minimal")))</f>
        <v>Minimal</v>
      </c>
      <c r="X234" t="str">
        <f>IF(AND(DraftData[[#This Row],[Pick]]&lt;=14,DraftData[[#This Row],[Win Shares]]&lt;10),"Yes","No")</f>
        <v>No</v>
      </c>
      <c r="Y234" s="2">
        <f>DraftData[[#This Row],[Win Shares]]/DraftData[[#This Row],[Pick]]</f>
        <v>0.13043478260869565</v>
      </c>
      <c r="Z234" s="2">
        <f>DraftData[[#This Row],[Win Shares]]-_xlfn.XLOOKUP(DraftData[[#This Row],[Pick]],'Lookup Tables'!$A$2:$A$31,'Lookup Tables'!$B$2:$B$31)</f>
        <v>-13.641666666666666</v>
      </c>
    </row>
    <row r="235" spans="1:26">
      <c r="A235">
        <v>2012</v>
      </c>
      <c r="B235">
        <v>24</v>
      </c>
      <c r="C235" t="s">
        <v>148</v>
      </c>
      <c r="D235" t="s">
        <v>377</v>
      </c>
      <c r="E235" t="s">
        <v>378</v>
      </c>
      <c r="F235">
        <v>84</v>
      </c>
      <c r="G235">
        <v>605</v>
      </c>
      <c r="H235">
        <v>197</v>
      </c>
      <c r="I235">
        <v>56</v>
      </c>
      <c r="J235">
        <v>39</v>
      </c>
      <c r="K235">
        <v>0.34699999999999998</v>
      </c>
      <c r="L235">
        <v>0.30599999999999999</v>
      </c>
      <c r="M235">
        <v>0.67400000000000004</v>
      </c>
      <c r="N235">
        <v>0.2</v>
      </c>
      <c r="O235">
        <v>1.7000000000000001E-2</v>
      </c>
      <c r="P235">
        <v>-5.7</v>
      </c>
      <c r="Q235">
        <v>-0.6</v>
      </c>
      <c r="R235">
        <v>7.2</v>
      </c>
      <c r="S235">
        <v>2.2999999999999998</v>
      </c>
      <c r="T235">
        <v>0.7</v>
      </c>
      <c r="U235">
        <v>0.5</v>
      </c>
      <c r="V235" t="str">
        <f>IF(DraftData[[#This Row],[Pick]]&lt;=5,"Top 5",
IF(DraftData[[#This Row],[Pick]]&lt;=14,"Lottery",
IF(DraftData[[#This Row],[Pick]]&lt;=20,"Mid First","Late First")))</f>
        <v>Late First</v>
      </c>
      <c r="W235" t="str">
        <f>IF(DraftData[[#This Row],[Win Shares]]&gt;=80,"Star",
IF(DraftData[[#This Row],[Win Shares]]&gt;=30,"Starter",
IF(DraftData[[#This Row],[Win Shares]]&gt;=10,"Rotation","Minimal")))</f>
        <v>Minimal</v>
      </c>
      <c r="X235" t="str">
        <f>IF(AND(DraftData[[#This Row],[Pick]]&lt;=14,DraftData[[#This Row],[Win Shares]]&lt;10),"Yes","No")</f>
        <v>No</v>
      </c>
      <c r="Y235" s="2">
        <f>DraftData[[#This Row],[Win Shares]]/DraftData[[#This Row],[Pick]]</f>
        <v>8.3333333333333332E-3</v>
      </c>
      <c r="Z235" s="2">
        <f>DraftData[[#This Row],[Win Shares]]-_xlfn.XLOOKUP(DraftData[[#This Row],[Pick]],'Lookup Tables'!$A$2:$A$31,'Lookup Tables'!$B$2:$B$31)</f>
        <v>-24.3</v>
      </c>
    </row>
    <row r="236" spans="1:26">
      <c r="A236">
        <v>2012</v>
      </c>
      <c r="B236">
        <v>25</v>
      </c>
      <c r="C236" t="s">
        <v>80</v>
      </c>
      <c r="D236" t="s">
        <v>379</v>
      </c>
      <c r="E236" t="s">
        <v>88</v>
      </c>
      <c r="F236">
        <v>145</v>
      </c>
      <c r="G236">
        <v>3076</v>
      </c>
      <c r="H236">
        <v>1604</v>
      </c>
      <c r="I236">
        <v>363</v>
      </c>
      <c r="J236">
        <v>437</v>
      </c>
      <c r="K236">
        <v>0.41299999999999998</v>
      </c>
      <c r="L236">
        <v>0.23100000000000001</v>
      </c>
      <c r="M236">
        <v>0.64700000000000002</v>
      </c>
      <c r="N236">
        <v>-1.3</v>
      </c>
      <c r="O236">
        <v>-2.1000000000000001E-2</v>
      </c>
      <c r="P236">
        <v>-3.4</v>
      </c>
      <c r="Q236">
        <v>-1.1000000000000001</v>
      </c>
      <c r="R236">
        <v>21.2</v>
      </c>
      <c r="S236">
        <v>11.1</v>
      </c>
      <c r="T236">
        <v>2.5</v>
      </c>
      <c r="U236">
        <v>3</v>
      </c>
      <c r="V236" t="str">
        <f>IF(DraftData[[#This Row],[Pick]]&lt;=5,"Top 5",
IF(DraftData[[#This Row],[Pick]]&lt;=14,"Lottery",
IF(DraftData[[#This Row],[Pick]]&lt;=20,"Mid First","Late First")))</f>
        <v>Late First</v>
      </c>
      <c r="W236" t="str">
        <f>IF(DraftData[[#This Row],[Win Shares]]&gt;=80,"Star",
IF(DraftData[[#This Row],[Win Shares]]&gt;=30,"Starter",
IF(DraftData[[#This Row],[Win Shares]]&gt;=10,"Rotation","Minimal")))</f>
        <v>Minimal</v>
      </c>
      <c r="X236" t="str">
        <f>IF(AND(DraftData[[#This Row],[Pick]]&lt;=14,DraftData[[#This Row],[Win Shares]]&lt;10),"Yes","No")</f>
        <v>No</v>
      </c>
      <c r="Y236" s="2">
        <f>DraftData[[#This Row],[Win Shares]]/DraftData[[#This Row],[Pick]]</f>
        <v>-5.2000000000000005E-2</v>
      </c>
      <c r="Z236" s="2">
        <f>DraftData[[#This Row],[Win Shares]]-_xlfn.XLOOKUP(DraftData[[#This Row],[Pick]],'Lookup Tables'!$A$2:$A$31,'Lookup Tables'!$B$2:$B$31)</f>
        <v>-14.2</v>
      </c>
    </row>
    <row r="237" spans="1:26">
      <c r="A237">
        <v>2012</v>
      </c>
      <c r="B237">
        <v>26</v>
      </c>
      <c r="C237" t="s">
        <v>75</v>
      </c>
      <c r="D237" t="s">
        <v>380</v>
      </c>
      <c r="E237" t="s">
        <v>119</v>
      </c>
      <c r="F237">
        <v>346</v>
      </c>
      <c r="G237">
        <v>5658</v>
      </c>
      <c r="H237">
        <v>1697</v>
      </c>
      <c r="I237">
        <v>1562</v>
      </c>
      <c r="J237">
        <v>178</v>
      </c>
      <c r="K237">
        <v>0.54200000000000004</v>
      </c>
      <c r="M237">
        <v>0.54300000000000004</v>
      </c>
      <c r="N237">
        <v>10.6</v>
      </c>
      <c r="O237">
        <v>0.09</v>
      </c>
      <c r="P237">
        <v>-1.9</v>
      </c>
      <c r="Q237">
        <v>0.2</v>
      </c>
      <c r="R237">
        <v>16.399999999999999</v>
      </c>
      <c r="S237">
        <v>4.9000000000000004</v>
      </c>
      <c r="T237">
        <v>4.5</v>
      </c>
      <c r="U237">
        <v>0.5</v>
      </c>
      <c r="V237" t="str">
        <f>IF(DraftData[[#This Row],[Pick]]&lt;=5,"Top 5",
IF(DraftData[[#This Row],[Pick]]&lt;=14,"Lottery",
IF(DraftData[[#This Row],[Pick]]&lt;=20,"Mid First","Late First")))</f>
        <v>Late First</v>
      </c>
      <c r="W237" t="str">
        <f>IF(DraftData[[#This Row],[Win Shares]]&gt;=80,"Star",
IF(DraftData[[#This Row],[Win Shares]]&gt;=30,"Starter",
IF(DraftData[[#This Row],[Win Shares]]&gt;=10,"Rotation","Minimal")))</f>
        <v>Rotation</v>
      </c>
      <c r="X237" t="str">
        <f>IF(AND(DraftData[[#This Row],[Pick]]&lt;=14,DraftData[[#This Row],[Win Shares]]&lt;10),"Yes","No")</f>
        <v>No</v>
      </c>
      <c r="Y237" s="2">
        <f>DraftData[[#This Row],[Win Shares]]/DraftData[[#This Row],[Pick]]</f>
        <v>0.40769230769230769</v>
      </c>
      <c r="Z237" s="2">
        <f>DraftData[[#This Row],[Win Shares]]-_xlfn.XLOOKUP(DraftData[[#This Row],[Pick]],'Lookup Tables'!$A$2:$A$31,'Lookup Tables'!$B$2:$B$31)</f>
        <v>-9.8000000000000025</v>
      </c>
    </row>
    <row r="238" spans="1:26">
      <c r="A238">
        <v>2012</v>
      </c>
      <c r="B238">
        <v>27</v>
      </c>
      <c r="C238" t="s">
        <v>105</v>
      </c>
      <c r="D238" t="s">
        <v>381</v>
      </c>
      <c r="E238" t="s">
        <v>382</v>
      </c>
      <c r="F238">
        <v>59</v>
      </c>
      <c r="G238">
        <v>729</v>
      </c>
      <c r="H238">
        <v>210</v>
      </c>
      <c r="I238">
        <v>180</v>
      </c>
      <c r="J238">
        <v>12</v>
      </c>
      <c r="K238">
        <v>0.54700000000000004</v>
      </c>
      <c r="M238">
        <v>0.66700000000000004</v>
      </c>
      <c r="N238">
        <v>1.7</v>
      </c>
      <c r="O238">
        <v>0.113</v>
      </c>
      <c r="P238">
        <v>-2.8</v>
      </c>
      <c r="Q238">
        <v>-0.1</v>
      </c>
      <c r="R238">
        <v>12.4</v>
      </c>
      <c r="S238">
        <v>3.6</v>
      </c>
      <c r="T238">
        <v>3.1</v>
      </c>
      <c r="U238">
        <v>0.2</v>
      </c>
      <c r="V238" t="str">
        <f>IF(DraftData[[#This Row],[Pick]]&lt;=5,"Top 5",
IF(DraftData[[#This Row],[Pick]]&lt;=14,"Lottery",
IF(DraftData[[#This Row],[Pick]]&lt;=20,"Mid First","Late First")))</f>
        <v>Late First</v>
      </c>
      <c r="W238" t="str">
        <f>IF(DraftData[[#This Row],[Win Shares]]&gt;=80,"Star",
IF(DraftData[[#This Row],[Win Shares]]&gt;=30,"Starter",
IF(DraftData[[#This Row],[Win Shares]]&gt;=10,"Rotation","Minimal")))</f>
        <v>Minimal</v>
      </c>
      <c r="X238" t="str">
        <f>IF(AND(DraftData[[#This Row],[Pick]]&lt;=14,DraftData[[#This Row],[Win Shares]]&lt;10),"Yes","No")</f>
        <v>No</v>
      </c>
      <c r="Y238" s="2">
        <f>DraftData[[#This Row],[Win Shares]]/DraftData[[#This Row],[Pick]]</f>
        <v>6.2962962962962957E-2</v>
      </c>
      <c r="Z238" s="2">
        <f>DraftData[[#This Row],[Win Shares]]-_xlfn.XLOOKUP(DraftData[[#This Row],[Pick]],'Lookup Tables'!$A$2:$A$31,'Lookup Tables'!$B$2:$B$31)</f>
        <v>-19.408333333333335</v>
      </c>
    </row>
    <row r="239" spans="1:26">
      <c r="A239">
        <v>2012</v>
      </c>
      <c r="B239">
        <v>28</v>
      </c>
      <c r="C239" t="s">
        <v>96</v>
      </c>
      <c r="D239" t="s">
        <v>383</v>
      </c>
      <c r="E239" t="s">
        <v>278</v>
      </c>
      <c r="F239">
        <v>143</v>
      </c>
      <c r="G239">
        <v>1675</v>
      </c>
      <c r="H239">
        <v>488</v>
      </c>
      <c r="I239">
        <v>252</v>
      </c>
      <c r="J239">
        <v>54</v>
      </c>
      <c r="K239">
        <v>0.42</v>
      </c>
      <c r="L239">
        <v>0.29299999999999998</v>
      </c>
      <c r="M239">
        <v>0.66</v>
      </c>
      <c r="N239">
        <v>1.7</v>
      </c>
      <c r="O239">
        <v>4.8000000000000001E-2</v>
      </c>
      <c r="P239">
        <v>-3.5</v>
      </c>
      <c r="Q239">
        <v>-0.6</v>
      </c>
      <c r="R239">
        <v>11.7</v>
      </c>
      <c r="S239">
        <v>3.4</v>
      </c>
      <c r="T239">
        <v>1.8</v>
      </c>
      <c r="U239">
        <v>0.4</v>
      </c>
      <c r="V239" t="str">
        <f>IF(DraftData[[#This Row],[Pick]]&lt;=5,"Top 5",
IF(DraftData[[#This Row],[Pick]]&lt;=14,"Lottery",
IF(DraftData[[#This Row],[Pick]]&lt;=20,"Mid First","Late First")))</f>
        <v>Late First</v>
      </c>
      <c r="W239" t="str">
        <f>IF(DraftData[[#This Row],[Win Shares]]&gt;=80,"Star",
IF(DraftData[[#This Row],[Win Shares]]&gt;=30,"Starter",
IF(DraftData[[#This Row],[Win Shares]]&gt;=10,"Rotation","Minimal")))</f>
        <v>Minimal</v>
      </c>
      <c r="X239" t="str">
        <f>IF(AND(DraftData[[#This Row],[Pick]]&lt;=14,DraftData[[#This Row],[Win Shares]]&lt;10),"Yes","No")</f>
        <v>No</v>
      </c>
      <c r="Y239" s="2">
        <f>DraftData[[#This Row],[Win Shares]]/DraftData[[#This Row],[Pick]]</f>
        <v>6.0714285714285714E-2</v>
      </c>
      <c r="Z239" s="2">
        <f>DraftData[[#This Row],[Win Shares]]-_xlfn.XLOOKUP(DraftData[[#This Row],[Pick]],'Lookup Tables'!$A$2:$A$31,'Lookup Tables'!$B$2:$B$31)</f>
        <v>-6.9454545454545462</v>
      </c>
    </row>
    <row r="240" spans="1:26">
      <c r="A240">
        <v>2012</v>
      </c>
      <c r="B240">
        <v>29</v>
      </c>
      <c r="C240" t="s">
        <v>111</v>
      </c>
      <c r="D240" t="s">
        <v>384</v>
      </c>
      <c r="E240" t="s">
        <v>144</v>
      </c>
      <c r="F240">
        <v>91</v>
      </c>
      <c r="G240">
        <v>909</v>
      </c>
      <c r="H240">
        <v>217</v>
      </c>
      <c r="I240">
        <v>90</v>
      </c>
      <c r="J240">
        <v>134</v>
      </c>
      <c r="K240">
        <v>0.34300000000000003</v>
      </c>
      <c r="L240">
        <v>0.222</v>
      </c>
      <c r="M240">
        <v>0.66100000000000003</v>
      </c>
      <c r="N240">
        <v>-0.9</v>
      </c>
      <c r="O240">
        <v>-4.4999999999999998E-2</v>
      </c>
      <c r="P240">
        <v>-6.5</v>
      </c>
      <c r="Q240">
        <v>-1</v>
      </c>
      <c r="R240">
        <v>10</v>
      </c>
      <c r="S240">
        <v>2.4</v>
      </c>
      <c r="T240">
        <v>1</v>
      </c>
      <c r="U240">
        <v>1.5</v>
      </c>
      <c r="V240" t="str">
        <f>IF(DraftData[[#This Row],[Pick]]&lt;=5,"Top 5",
IF(DraftData[[#This Row],[Pick]]&lt;=14,"Lottery",
IF(DraftData[[#This Row],[Pick]]&lt;=20,"Mid First","Late First")))</f>
        <v>Late First</v>
      </c>
      <c r="W240" t="str">
        <f>IF(DraftData[[#This Row],[Win Shares]]&gt;=80,"Star",
IF(DraftData[[#This Row],[Win Shares]]&gt;=30,"Starter",
IF(DraftData[[#This Row],[Win Shares]]&gt;=10,"Rotation","Minimal")))</f>
        <v>Minimal</v>
      </c>
      <c r="X240" t="str">
        <f>IF(AND(DraftData[[#This Row],[Pick]]&lt;=14,DraftData[[#This Row],[Win Shares]]&lt;10),"Yes","No")</f>
        <v>No</v>
      </c>
      <c r="Y240" s="2">
        <f>DraftData[[#This Row],[Win Shares]]/DraftData[[#This Row],[Pick]]</f>
        <v>-3.1034482758620689E-2</v>
      </c>
      <c r="Z240" s="2">
        <f>DraftData[[#This Row],[Win Shares]]-_xlfn.XLOOKUP(DraftData[[#This Row],[Pick]],'Lookup Tables'!$A$2:$A$31,'Lookup Tables'!$B$2:$B$31)</f>
        <v>-5.9666666666666677</v>
      </c>
    </row>
    <row r="241" spans="1:26">
      <c r="A241">
        <v>2012</v>
      </c>
      <c r="B241">
        <v>30</v>
      </c>
      <c r="C241" t="s">
        <v>58</v>
      </c>
      <c r="D241" t="s">
        <v>385</v>
      </c>
      <c r="E241" t="s">
        <v>376</v>
      </c>
      <c r="F241">
        <v>170</v>
      </c>
      <c r="G241">
        <v>2394</v>
      </c>
      <c r="H241">
        <v>712</v>
      </c>
      <c r="I241">
        <v>725</v>
      </c>
      <c r="J241">
        <v>63</v>
      </c>
      <c r="K241">
        <v>0.51300000000000001</v>
      </c>
      <c r="M241">
        <v>0.55700000000000005</v>
      </c>
      <c r="N241">
        <v>5.9</v>
      </c>
      <c r="O241">
        <v>0.11899999999999999</v>
      </c>
      <c r="P241">
        <v>-2</v>
      </c>
      <c r="Q241">
        <v>0</v>
      </c>
      <c r="R241">
        <v>14.1</v>
      </c>
      <c r="S241">
        <v>4.2</v>
      </c>
      <c r="T241">
        <v>4.3</v>
      </c>
      <c r="U241">
        <v>0.4</v>
      </c>
      <c r="V241" t="str">
        <f>IF(DraftData[[#This Row],[Pick]]&lt;=5,"Top 5",
IF(DraftData[[#This Row],[Pick]]&lt;=14,"Lottery",
IF(DraftData[[#This Row],[Pick]]&lt;=20,"Mid First","Late First")))</f>
        <v>Late First</v>
      </c>
      <c r="W241" t="str">
        <f>IF(DraftData[[#This Row],[Win Shares]]&gt;=80,"Star",
IF(DraftData[[#This Row],[Win Shares]]&gt;=30,"Starter",
IF(DraftData[[#This Row],[Win Shares]]&gt;=10,"Rotation","Minimal")))</f>
        <v>Minimal</v>
      </c>
      <c r="X241" t="str">
        <f>IF(AND(DraftData[[#This Row],[Pick]]&lt;=14,DraftData[[#This Row],[Win Shares]]&lt;10),"Yes","No")</f>
        <v>No</v>
      </c>
      <c r="Y241" s="2">
        <f>DraftData[[#This Row],[Win Shares]]/DraftData[[#This Row],[Pick]]</f>
        <v>0.19666666666666668</v>
      </c>
      <c r="Z241" s="2">
        <f>DraftData[[#This Row],[Win Shares]]-_xlfn.XLOOKUP(DraftData[[#This Row],[Pick]],'Lookup Tables'!$A$2:$A$31,'Lookup Tables'!$B$2:$B$31)</f>
        <v>-14.818181818181815</v>
      </c>
    </row>
    <row r="242" spans="1:26">
      <c r="A242">
        <v>2013</v>
      </c>
      <c r="B242">
        <v>1</v>
      </c>
      <c r="C242" t="s">
        <v>148</v>
      </c>
      <c r="D242" t="s">
        <v>386</v>
      </c>
      <c r="E242" t="s">
        <v>387</v>
      </c>
      <c r="F242">
        <v>151</v>
      </c>
      <c r="G242">
        <v>1905</v>
      </c>
      <c r="H242">
        <v>658</v>
      </c>
      <c r="I242">
        <v>472</v>
      </c>
      <c r="J242">
        <v>77</v>
      </c>
      <c r="K242">
        <v>0.39200000000000002</v>
      </c>
      <c r="L242">
        <v>0.26100000000000001</v>
      </c>
      <c r="M242">
        <v>0.67</v>
      </c>
      <c r="N242">
        <v>0.5</v>
      </c>
      <c r="O242">
        <v>1.2999999999999999E-2</v>
      </c>
      <c r="P242">
        <v>-4.8</v>
      </c>
      <c r="Q242">
        <v>-1.3</v>
      </c>
      <c r="R242">
        <v>12.6</v>
      </c>
      <c r="S242">
        <v>4.4000000000000004</v>
      </c>
      <c r="T242">
        <v>3.1</v>
      </c>
      <c r="U242">
        <v>0.5</v>
      </c>
      <c r="V242" t="str">
        <f>IF(DraftData[[#This Row],[Pick]]&lt;=5,"Top 5",
IF(DraftData[[#This Row],[Pick]]&lt;=14,"Lottery",
IF(DraftData[[#This Row],[Pick]]&lt;=20,"Mid First","Late First")))</f>
        <v>Top 5</v>
      </c>
      <c r="W242" t="str">
        <f>IF(DraftData[[#This Row],[Win Shares]]&gt;=80,"Star",
IF(DraftData[[#This Row],[Win Shares]]&gt;=30,"Starter",
IF(DraftData[[#This Row],[Win Shares]]&gt;=10,"Rotation","Minimal")))</f>
        <v>Minimal</v>
      </c>
      <c r="X242" t="str">
        <f>IF(AND(DraftData[[#This Row],[Pick]]&lt;=14,DraftData[[#This Row],[Win Shares]]&lt;10),"Yes","No")</f>
        <v>Yes</v>
      </c>
      <c r="Y242" s="2">
        <f>DraftData[[#This Row],[Win Shares]]/DraftData[[#This Row],[Pick]]</f>
        <v>0.5</v>
      </c>
      <c r="Z242" s="2">
        <f>DraftData[[#This Row],[Win Shares]]-_xlfn.XLOOKUP(DraftData[[#This Row],[Pick]],'Lookup Tables'!$A$2:$A$31,'Lookup Tables'!$B$2:$B$31)</f>
        <v>-43.083333333333336</v>
      </c>
    </row>
    <row r="243" spans="1:26">
      <c r="A243">
        <v>2013</v>
      </c>
      <c r="B243">
        <v>2</v>
      </c>
      <c r="C243" t="s">
        <v>63</v>
      </c>
      <c r="D243" t="s">
        <v>388</v>
      </c>
      <c r="E243" t="s">
        <v>208</v>
      </c>
      <c r="F243">
        <v>454</v>
      </c>
      <c r="G243">
        <v>14968</v>
      </c>
      <c r="H243">
        <v>7955</v>
      </c>
      <c r="I243">
        <v>2094</v>
      </c>
      <c r="J243">
        <v>1796</v>
      </c>
      <c r="K243">
        <v>0.438</v>
      </c>
      <c r="L243">
        <v>0.34699999999999998</v>
      </c>
      <c r="M243">
        <v>0.79100000000000004</v>
      </c>
      <c r="N243">
        <v>24.6</v>
      </c>
      <c r="O243">
        <v>7.9000000000000001E-2</v>
      </c>
      <c r="P243">
        <v>0.9</v>
      </c>
      <c r="Q243">
        <v>10.8</v>
      </c>
      <c r="R243">
        <v>33</v>
      </c>
      <c r="S243">
        <v>17.5</v>
      </c>
      <c r="T243">
        <v>4.5999999999999996</v>
      </c>
      <c r="U243">
        <v>4</v>
      </c>
      <c r="V243" t="str">
        <f>IF(DraftData[[#This Row],[Pick]]&lt;=5,"Top 5",
IF(DraftData[[#This Row],[Pick]]&lt;=14,"Lottery",
IF(DraftData[[#This Row],[Pick]]&lt;=20,"Mid First","Late First")))</f>
        <v>Top 5</v>
      </c>
      <c r="W243" t="str">
        <f>IF(DraftData[[#This Row],[Win Shares]]&gt;=80,"Star",
IF(DraftData[[#This Row],[Win Shares]]&gt;=30,"Starter",
IF(DraftData[[#This Row],[Win Shares]]&gt;=10,"Rotation","Minimal")))</f>
        <v>Rotation</v>
      </c>
      <c r="X243" t="str">
        <f>IF(AND(DraftData[[#This Row],[Pick]]&lt;=14,DraftData[[#This Row],[Win Shares]]&lt;10),"Yes","No")</f>
        <v>No</v>
      </c>
      <c r="Y243" s="2">
        <f>DraftData[[#This Row],[Win Shares]]/DraftData[[#This Row],[Pick]]</f>
        <v>12.3</v>
      </c>
      <c r="Z243" s="2">
        <f>DraftData[[#This Row],[Win Shares]]-_xlfn.XLOOKUP(DraftData[[#This Row],[Pick]],'Lookup Tables'!$A$2:$A$31,'Lookup Tables'!$B$2:$B$31)</f>
        <v>-15.191666666666663</v>
      </c>
    </row>
    <row r="244" spans="1:26">
      <c r="A244">
        <v>2013</v>
      </c>
      <c r="B244">
        <v>3</v>
      </c>
      <c r="C244" t="s">
        <v>137</v>
      </c>
      <c r="D244" t="s">
        <v>389</v>
      </c>
      <c r="E244" t="s">
        <v>165</v>
      </c>
      <c r="F244">
        <v>489</v>
      </c>
      <c r="G244">
        <v>12718</v>
      </c>
      <c r="H244">
        <v>5223</v>
      </c>
      <c r="I244">
        <v>2440</v>
      </c>
      <c r="J244">
        <v>746</v>
      </c>
      <c r="K244">
        <v>0.47799999999999998</v>
      </c>
      <c r="L244">
        <v>0.40100000000000002</v>
      </c>
      <c r="M244">
        <v>0.79100000000000004</v>
      </c>
      <c r="N244">
        <v>35.1</v>
      </c>
      <c r="O244">
        <v>0.13300000000000001</v>
      </c>
      <c r="P244">
        <v>1.8</v>
      </c>
      <c r="Q244">
        <v>12.2</v>
      </c>
      <c r="R244">
        <v>26</v>
      </c>
      <c r="S244">
        <v>10.7</v>
      </c>
      <c r="T244">
        <v>5</v>
      </c>
      <c r="U244">
        <v>1.5</v>
      </c>
      <c r="V244" t="str">
        <f>IF(DraftData[[#This Row],[Pick]]&lt;=5,"Top 5",
IF(DraftData[[#This Row],[Pick]]&lt;=14,"Lottery",
IF(DraftData[[#This Row],[Pick]]&lt;=20,"Mid First","Late First")))</f>
        <v>Top 5</v>
      </c>
      <c r="W244" t="str">
        <f>IF(DraftData[[#This Row],[Win Shares]]&gt;=80,"Star",
IF(DraftData[[#This Row],[Win Shares]]&gt;=30,"Starter",
IF(DraftData[[#This Row],[Win Shares]]&gt;=10,"Rotation","Minimal")))</f>
        <v>Starter</v>
      </c>
      <c r="X244" t="str">
        <f>IF(AND(DraftData[[#This Row],[Pick]]&lt;=14,DraftData[[#This Row],[Win Shares]]&lt;10),"Yes","No")</f>
        <v>No</v>
      </c>
      <c r="Y244" s="2">
        <f>DraftData[[#This Row],[Win Shares]]/DraftData[[#This Row],[Pick]]</f>
        <v>11.700000000000001</v>
      </c>
      <c r="Z244" s="2">
        <f>DraftData[[#This Row],[Win Shares]]-_xlfn.XLOOKUP(DraftData[[#This Row],[Pick]],'Lookup Tables'!$A$2:$A$31,'Lookup Tables'!$B$2:$B$31)</f>
        <v>-15.666666666666671</v>
      </c>
    </row>
    <row r="245" spans="1:26">
      <c r="A245">
        <v>2013</v>
      </c>
      <c r="B245">
        <v>4</v>
      </c>
      <c r="C245" t="s">
        <v>48</v>
      </c>
      <c r="D245" t="s">
        <v>390</v>
      </c>
      <c r="E245" t="s">
        <v>208</v>
      </c>
      <c r="F245">
        <v>494</v>
      </c>
      <c r="G245">
        <v>10973</v>
      </c>
      <c r="H245">
        <v>4202</v>
      </c>
      <c r="I245">
        <v>2949</v>
      </c>
      <c r="J245">
        <v>691</v>
      </c>
      <c r="K245">
        <v>0.52</v>
      </c>
      <c r="L245">
        <v>0.221</v>
      </c>
      <c r="M245">
        <v>0.73099999999999998</v>
      </c>
      <c r="N245">
        <v>32.200000000000003</v>
      </c>
      <c r="O245">
        <v>0.14099999999999999</v>
      </c>
      <c r="P245">
        <v>-0.5</v>
      </c>
      <c r="Q245">
        <v>4.0999999999999996</v>
      </c>
      <c r="R245">
        <v>22.2</v>
      </c>
      <c r="S245">
        <v>8.5</v>
      </c>
      <c r="T245">
        <v>6</v>
      </c>
      <c r="U245">
        <v>1.4</v>
      </c>
      <c r="V245" t="str">
        <f>IF(DraftData[[#This Row],[Pick]]&lt;=5,"Top 5",
IF(DraftData[[#This Row],[Pick]]&lt;=14,"Lottery",
IF(DraftData[[#This Row],[Pick]]&lt;=20,"Mid First","Late First")))</f>
        <v>Top 5</v>
      </c>
      <c r="W245" t="str">
        <f>IF(DraftData[[#This Row],[Win Shares]]&gt;=80,"Star",
IF(DraftData[[#This Row],[Win Shares]]&gt;=30,"Starter",
IF(DraftData[[#This Row],[Win Shares]]&gt;=10,"Rotation","Minimal")))</f>
        <v>Starter</v>
      </c>
      <c r="X245" t="str">
        <f>IF(AND(DraftData[[#This Row],[Pick]]&lt;=14,DraftData[[#This Row],[Win Shares]]&lt;10),"Yes","No")</f>
        <v>No</v>
      </c>
      <c r="Y245" s="2">
        <f>DraftData[[#This Row],[Win Shares]]/DraftData[[#This Row],[Pick]]</f>
        <v>8.0500000000000007</v>
      </c>
      <c r="Z245" s="2">
        <f>DraftData[[#This Row],[Win Shares]]-_xlfn.XLOOKUP(DraftData[[#This Row],[Pick]],'Lookup Tables'!$A$2:$A$31,'Lookup Tables'!$B$2:$B$31)</f>
        <v>-16.358333333333334</v>
      </c>
    </row>
    <row r="246" spans="1:26">
      <c r="A246">
        <v>2013</v>
      </c>
      <c r="B246">
        <v>5</v>
      </c>
      <c r="C246" t="s">
        <v>86</v>
      </c>
      <c r="D246" t="s">
        <v>391</v>
      </c>
      <c r="E246" t="s">
        <v>307</v>
      </c>
      <c r="F246">
        <v>564</v>
      </c>
      <c r="G246">
        <v>10706</v>
      </c>
      <c r="H246">
        <v>4342</v>
      </c>
      <c r="I246">
        <v>3333</v>
      </c>
      <c r="J246">
        <v>485</v>
      </c>
      <c r="K246">
        <v>0.50700000000000001</v>
      </c>
      <c r="L246">
        <v>0.33100000000000002</v>
      </c>
      <c r="M246">
        <v>0.68300000000000005</v>
      </c>
      <c r="N246">
        <v>21.5</v>
      </c>
      <c r="O246">
        <v>9.7000000000000003E-2</v>
      </c>
      <c r="P246">
        <v>-1.9</v>
      </c>
      <c r="Q246">
        <v>0.3</v>
      </c>
      <c r="R246">
        <v>19</v>
      </c>
      <c r="S246">
        <v>7.7</v>
      </c>
      <c r="T246">
        <v>5.9</v>
      </c>
      <c r="U246">
        <v>0.9</v>
      </c>
      <c r="V246" t="str">
        <f>IF(DraftData[[#This Row],[Pick]]&lt;=5,"Top 5",
IF(DraftData[[#This Row],[Pick]]&lt;=14,"Lottery",
IF(DraftData[[#This Row],[Pick]]&lt;=20,"Mid First","Late First")))</f>
        <v>Top 5</v>
      </c>
      <c r="W246" t="str">
        <f>IF(DraftData[[#This Row],[Win Shares]]&gt;=80,"Star",
IF(DraftData[[#This Row],[Win Shares]]&gt;=30,"Starter",
IF(DraftData[[#This Row],[Win Shares]]&gt;=10,"Rotation","Minimal")))</f>
        <v>Rotation</v>
      </c>
      <c r="X246" t="str">
        <f>IF(AND(DraftData[[#This Row],[Pick]]&lt;=14,DraftData[[#This Row],[Win Shares]]&lt;10),"Yes","No")</f>
        <v>No</v>
      </c>
      <c r="Y246" s="2">
        <f>DraftData[[#This Row],[Win Shares]]/DraftData[[#This Row],[Pick]]</f>
        <v>4.3</v>
      </c>
      <c r="Z246" s="2">
        <f>DraftData[[#This Row],[Win Shares]]-_xlfn.XLOOKUP(DraftData[[#This Row],[Pick]],'Lookup Tables'!$A$2:$A$31,'Lookup Tables'!$B$2:$B$31)</f>
        <v>-9.8583333333333378</v>
      </c>
    </row>
    <row r="247" spans="1:26">
      <c r="A247">
        <v>2013</v>
      </c>
      <c r="B247">
        <v>6</v>
      </c>
      <c r="C247" t="s">
        <v>45</v>
      </c>
      <c r="D247" t="s">
        <v>392</v>
      </c>
      <c r="E247" t="s">
        <v>144</v>
      </c>
      <c r="F247">
        <v>450</v>
      </c>
      <c r="G247">
        <v>10086</v>
      </c>
      <c r="H247">
        <v>3303</v>
      </c>
      <c r="I247">
        <v>2789</v>
      </c>
      <c r="J247">
        <v>491</v>
      </c>
      <c r="K247">
        <v>0.54900000000000004</v>
      </c>
      <c r="L247">
        <v>0.154</v>
      </c>
      <c r="M247">
        <v>0.65500000000000003</v>
      </c>
      <c r="N247">
        <v>28.2</v>
      </c>
      <c r="O247">
        <v>0.13400000000000001</v>
      </c>
      <c r="P247">
        <v>0.9</v>
      </c>
      <c r="Q247">
        <v>7.5</v>
      </c>
      <c r="R247">
        <v>22.4</v>
      </c>
      <c r="S247">
        <v>7.3</v>
      </c>
      <c r="T247">
        <v>6.2</v>
      </c>
      <c r="U247">
        <v>1.1000000000000001</v>
      </c>
      <c r="V247" t="str">
        <f>IF(DraftData[[#This Row],[Pick]]&lt;=5,"Top 5",
IF(DraftData[[#This Row],[Pick]]&lt;=14,"Lottery",
IF(DraftData[[#This Row],[Pick]]&lt;=20,"Mid First","Late First")))</f>
        <v>Lottery</v>
      </c>
      <c r="W247" t="str">
        <f>IF(DraftData[[#This Row],[Win Shares]]&gt;=80,"Star",
IF(DraftData[[#This Row],[Win Shares]]&gt;=30,"Starter",
IF(DraftData[[#This Row],[Win Shares]]&gt;=10,"Rotation","Minimal")))</f>
        <v>Rotation</v>
      </c>
      <c r="X247" t="str">
        <f>IF(AND(DraftData[[#This Row],[Pick]]&lt;=14,DraftData[[#This Row],[Win Shares]]&lt;10),"Yes","No")</f>
        <v>No</v>
      </c>
      <c r="Y247" s="2">
        <f>DraftData[[#This Row],[Win Shares]]/DraftData[[#This Row],[Pick]]</f>
        <v>4.7</v>
      </c>
      <c r="Z247" s="2">
        <f>DraftData[[#This Row],[Win Shares]]-_xlfn.XLOOKUP(DraftData[[#This Row],[Pick]],'Lookup Tables'!$A$2:$A$31,'Lookup Tables'!$B$2:$B$31)</f>
        <v>0.5416666666666643</v>
      </c>
    </row>
    <row r="248" spans="1:26">
      <c r="A248">
        <v>2013</v>
      </c>
      <c r="B248">
        <v>7</v>
      </c>
      <c r="C248" t="s">
        <v>91</v>
      </c>
      <c r="D248" t="s">
        <v>393</v>
      </c>
      <c r="E248" t="s">
        <v>107</v>
      </c>
      <c r="F248">
        <v>534</v>
      </c>
      <c r="G248">
        <v>12037</v>
      </c>
      <c r="H248">
        <v>4743</v>
      </c>
      <c r="I248">
        <v>1232</v>
      </c>
      <c r="J248">
        <v>540</v>
      </c>
      <c r="K248">
        <v>0.41399999999999998</v>
      </c>
      <c r="L248">
        <v>0.36399999999999999</v>
      </c>
      <c r="M248">
        <v>0.77600000000000002</v>
      </c>
      <c r="N248">
        <v>9</v>
      </c>
      <c r="O248">
        <v>3.5999999999999997E-2</v>
      </c>
      <c r="P248">
        <v>-3</v>
      </c>
      <c r="Q248">
        <v>-3.1</v>
      </c>
      <c r="R248">
        <v>22.5</v>
      </c>
      <c r="S248">
        <v>8.9</v>
      </c>
      <c r="T248">
        <v>2.2999999999999998</v>
      </c>
      <c r="U248">
        <v>1</v>
      </c>
      <c r="V248" t="str">
        <f>IF(DraftData[[#This Row],[Pick]]&lt;=5,"Top 5",
IF(DraftData[[#This Row],[Pick]]&lt;=14,"Lottery",
IF(DraftData[[#This Row],[Pick]]&lt;=20,"Mid First","Late First")))</f>
        <v>Lottery</v>
      </c>
      <c r="W248" t="str">
        <f>IF(DraftData[[#This Row],[Win Shares]]&gt;=80,"Star",
IF(DraftData[[#This Row],[Win Shares]]&gt;=30,"Starter",
IF(DraftData[[#This Row],[Win Shares]]&gt;=10,"Rotation","Minimal")))</f>
        <v>Minimal</v>
      </c>
      <c r="X248" t="str">
        <f>IF(AND(DraftData[[#This Row],[Pick]]&lt;=14,DraftData[[#This Row],[Win Shares]]&lt;10),"Yes","No")</f>
        <v>Yes</v>
      </c>
      <c r="Y248" s="2">
        <f>DraftData[[#This Row],[Win Shares]]/DraftData[[#This Row],[Pick]]</f>
        <v>1.2857142857142858</v>
      </c>
      <c r="Z248" s="2">
        <f>DraftData[[#This Row],[Win Shares]]-_xlfn.XLOOKUP(DraftData[[#This Row],[Pick]],'Lookup Tables'!$A$2:$A$31,'Lookup Tables'!$B$2:$B$31)</f>
        <v>-24.975000000000009</v>
      </c>
    </row>
    <row r="249" spans="1:26">
      <c r="A249">
        <v>2013</v>
      </c>
      <c r="B249">
        <v>8</v>
      </c>
      <c r="C249" t="s">
        <v>98</v>
      </c>
      <c r="D249" t="s">
        <v>394</v>
      </c>
      <c r="E249" t="s">
        <v>395</v>
      </c>
      <c r="F249">
        <v>661</v>
      </c>
      <c r="G249">
        <v>19263</v>
      </c>
      <c r="H249">
        <v>7530</v>
      </c>
      <c r="I249">
        <v>2076</v>
      </c>
      <c r="J249">
        <v>1098</v>
      </c>
      <c r="K249">
        <v>0.41799999999999998</v>
      </c>
      <c r="L249">
        <v>0.35799999999999998</v>
      </c>
      <c r="M249">
        <v>0.80900000000000005</v>
      </c>
      <c r="N249">
        <v>33.299999999999997</v>
      </c>
      <c r="O249">
        <v>8.3000000000000004E-2</v>
      </c>
      <c r="P249">
        <v>-0.8</v>
      </c>
      <c r="Q249">
        <v>5.8</v>
      </c>
      <c r="R249">
        <v>29.1</v>
      </c>
      <c r="S249">
        <v>11.4</v>
      </c>
      <c r="T249">
        <v>3.1</v>
      </c>
      <c r="U249">
        <v>1.7</v>
      </c>
      <c r="V249" t="str">
        <f>IF(DraftData[[#This Row],[Pick]]&lt;=5,"Top 5",
IF(DraftData[[#This Row],[Pick]]&lt;=14,"Lottery",
IF(DraftData[[#This Row],[Pick]]&lt;=20,"Mid First","Late First")))</f>
        <v>Lottery</v>
      </c>
      <c r="W249" t="str">
        <f>IF(DraftData[[#This Row],[Win Shares]]&gt;=80,"Star",
IF(DraftData[[#This Row],[Win Shares]]&gt;=30,"Starter",
IF(DraftData[[#This Row],[Win Shares]]&gt;=10,"Rotation","Minimal")))</f>
        <v>Starter</v>
      </c>
      <c r="X249" t="str">
        <f>IF(AND(DraftData[[#This Row],[Pick]]&lt;=14,DraftData[[#This Row],[Win Shares]]&lt;10),"Yes","No")</f>
        <v>No</v>
      </c>
      <c r="Y249" s="2">
        <f>DraftData[[#This Row],[Win Shares]]/DraftData[[#This Row],[Pick]]</f>
        <v>4.1624999999999996</v>
      </c>
      <c r="Z249" s="2">
        <f>DraftData[[#This Row],[Win Shares]]-_xlfn.XLOOKUP(DraftData[[#This Row],[Pick]],'Lookup Tables'!$A$2:$A$31,'Lookup Tables'!$B$2:$B$31)</f>
        <v>12.141666666666666</v>
      </c>
    </row>
    <row r="250" spans="1:26">
      <c r="A250">
        <v>2013</v>
      </c>
      <c r="B250">
        <v>9</v>
      </c>
      <c r="C250" t="s">
        <v>68</v>
      </c>
      <c r="D250" t="s">
        <v>396</v>
      </c>
      <c r="E250" t="s">
        <v>397</v>
      </c>
      <c r="F250">
        <v>488</v>
      </c>
      <c r="G250">
        <v>10306</v>
      </c>
      <c r="H250">
        <v>4759</v>
      </c>
      <c r="I250">
        <v>873</v>
      </c>
      <c r="J250">
        <v>1511</v>
      </c>
      <c r="K250">
        <v>0.41199999999999998</v>
      </c>
      <c r="L250">
        <v>0.34499999999999997</v>
      </c>
      <c r="M250">
        <v>0.81200000000000006</v>
      </c>
      <c r="N250">
        <v>13.2</v>
      </c>
      <c r="O250">
        <v>6.2E-2</v>
      </c>
      <c r="P250">
        <v>-1.2</v>
      </c>
      <c r="Q250">
        <v>1.9</v>
      </c>
      <c r="R250">
        <v>21.1</v>
      </c>
      <c r="S250">
        <v>9.8000000000000007</v>
      </c>
      <c r="T250">
        <v>1.8</v>
      </c>
      <c r="U250">
        <v>3.1</v>
      </c>
      <c r="V250" t="str">
        <f>IF(DraftData[[#This Row],[Pick]]&lt;=5,"Top 5",
IF(DraftData[[#This Row],[Pick]]&lt;=14,"Lottery",
IF(DraftData[[#This Row],[Pick]]&lt;=20,"Mid First","Late First")))</f>
        <v>Lottery</v>
      </c>
      <c r="W250" t="str">
        <f>IF(DraftData[[#This Row],[Win Shares]]&gt;=80,"Star",
IF(DraftData[[#This Row],[Win Shares]]&gt;=30,"Starter",
IF(DraftData[[#This Row],[Win Shares]]&gt;=10,"Rotation","Minimal")))</f>
        <v>Rotation</v>
      </c>
      <c r="X250" t="str">
        <f>IF(AND(DraftData[[#This Row],[Pick]]&lt;=14,DraftData[[#This Row],[Win Shares]]&lt;10),"Yes","No")</f>
        <v>No</v>
      </c>
      <c r="Y250" s="2">
        <f>DraftData[[#This Row],[Win Shares]]/DraftData[[#This Row],[Pick]]</f>
        <v>1.4666666666666666</v>
      </c>
      <c r="Z250" s="2">
        <f>DraftData[[#This Row],[Win Shares]]-_xlfn.XLOOKUP(DraftData[[#This Row],[Pick]],'Lookup Tables'!$A$2:$A$31,'Lookup Tables'!$B$2:$B$31)</f>
        <v>-24.191666666666666</v>
      </c>
    </row>
    <row r="251" spans="1:26">
      <c r="A251">
        <v>2013</v>
      </c>
      <c r="B251">
        <v>10</v>
      </c>
      <c r="C251" t="s">
        <v>50</v>
      </c>
      <c r="D251" t="s">
        <v>398</v>
      </c>
      <c r="E251" t="s">
        <v>399</v>
      </c>
      <c r="F251">
        <v>569</v>
      </c>
      <c r="G251">
        <v>17929</v>
      </c>
      <c r="H251">
        <v>10852</v>
      </c>
      <c r="I251">
        <v>1955</v>
      </c>
      <c r="J251">
        <v>1919</v>
      </c>
      <c r="K251">
        <v>0.45400000000000001</v>
      </c>
      <c r="L251">
        <v>0.39700000000000002</v>
      </c>
      <c r="M251">
        <v>0.81899999999999995</v>
      </c>
      <c r="N251">
        <v>38.9</v>
      </c>
      <c r="O251">
        <v>0.104</v>
      </c>
      <c r="P251">
        <v>1.2</v>
      </c>
      <c r="Q251">
        <v>14.7</v>
      </c>
      <c r="R251">
        <v>31.5</v>
      </c>
      <c r="S251">
        <v>19.100000000000001</v>
      </c>
      <c r="T251">
        <v>3.4</v>
      </c>
      <c r="U251">
        <v>3.4</v>
      </c>
      <c r="V251" t="str">
        <f>IF(DraftData[[#This Row],[Pick]]&lt;=5,"Top 5",
IF(DraftData[[#This Row],[Pick]]&lt;=14,"Lottery",
IF(DraftData[[#This Row],[Pick]]&lt;=20,"Mid First","Late First")))</f>
        <v>Lottery</v>
      </c>
      <c r="W251" t="str">
        <f>IF(DraftData[[#This Row],[Win Shares]]&gt;=80,"Star",
IF(DraftData[[#This Row],[Win Shares]]&gt;=30,"Starter",
IF(DraftData[[#This Row],[Win Shares]]&gt;=10,"Rotation","Minimal")))</f>
        <v>Starter</v>
      </c>
      <c r="X251" t="str">
        <f>IF(AND(DraftData[[#This Row],[Pick]]&lt;=14,DraftData[[#This Row],[Win Shares]]&lt;10),"Yes","No")</f>
        <v>No</v>
      </c>
      <c r="Y251" s="2">
        <f>DraftData[[#This Row],[Win Shares]]/DraftData[[#This Row],[Pick]]</f>
        <v>3.8899999999999997</v>
      </c>
      <c r="Z251" s="2">
        <f>DraftData[[#This Row],[Win Shares]]-_xlfn.XLOOKUP(DraftData[[#This Row],[Pick]],'Lookup Tables'!$A$2:$A$31,'Lookup Tables'!$B$2:$B$31)</f>
        <v>12.05</v>
      </c>
    </row>
    <row r="252" spans="1:26">
      <c r="A252">
        <v>2013</v>
      </c>
      <c r="B252">
        <v>11</v>
      </c>
      <c r="C252" t="s">
        <v>129</v>
      </c>
      <c r="D252" t="s">
        <v>400</v>
      </c>
      <c r="E252" t="s">
        <v>82</v>
      </c>
      <c r="F252">
        <v>391</v>
      </c>
      <c r="G252">
        <v>9898</v>
      </c>
      <c r="H252">
        <v>4023</v>
      </c>
      <c r="I252">
        <v>1713</v>
      </c>
      <c r="J252">
        <v>1701</v>
      </c>
      <c r="K252">
        <v>0.40200000000000002</v>
      </c>
      <c r="L252">
        <v>0.255</v>
      </c>
      <c r="M252">
        <v>0.70599999999999996</v>
      </c>
      <c r="N252">
        <v>6.6</v>
      </c>
      <c r="O252">
        <v>3.2000000000000001E-2</v>
      </c>
      <c r="P252">
        <v>-1.2</v>
      </c>
      <c r="Q252">
        <v>1.9</v>
      </c>
      <c r="R252">
        <v>25.3</v>
      </c>
      <c r="S252">
        <v>10.3</v>
      </c>
      <c r="T252">
        <v>4.4000000000000004</v>
      </c>
      <c r="U252">
        <v>4.4000000000000004</v>
      </c>
      <c r="V252" t="str">
        <f>IF(DraftData[[#This Row],[Pick]]&lt;=5,"Top 5",
IF(DraftData[[#This Row],[Pick]]&lt;=14,"Lottery",
IF(DraftData[[#This Row],[Pick]]&lt;=20,"Mid First","Late First")))</f>
        <v>Lottery</v>
      </c>
      <c r="W252" t="str">
        <f>IF(DraftData[[#This Row],[Win Shares]]&gt;=80,"Star",
IF(DraftData[[#This Row],[Win Shares]]&gt;=30,"Starter",
IF(DraftData[[#This Row],[Win Shares]]&gt;=10,"Rotation","Minimal")))</f>
        <v>Minimal</v>
      </c>
      <c r="X252" t="str">
        <f>IF(AND(DraftData[[#This Row],[Pick]]&lt;=14,DraftData[[#This Row],[Win Shares]]&lt;10),"Yes","No")</f>
        <v>Yes</v>
      </c>
      <c r="Y252" s="2">
        <f>DraftData[[#This Row],[Win Shares]]/DraftData[[#This Row],[Pick]]</f>
        <v>0.6</v>
      </c>
      <c r="Z252" s="2">
        <f>DraftData[[#This Row],[Win Shares]]-_xlfn.XLOOKUP(DraftData[[#This Row],[Pick]],'Lookup Tables'!$A$2:$A$31,'Lookup Tables'!$B$2:$B$31)</f>
        <v>-16.100000000000001</v>
      </c>
    </row>
    <row r="253" spans="1:26">
      <c r="A253">
        <v>2013</v>
      </c>
      <c r="B253">
        <v>12</v>
      </c>
      <c r="C253" t="s">
        <v>96</v>
      </c>
      <c r="D253" t="s">
        <v>401</v>
      </c>
      <c r="E253" t="s">
        <v>402</v>
      </c>
      <c r="F253">
        <v>644</v>
      </c>
      <c r="G253">
        <v>17276</v>
      </c>
      <c r="H253">
        <v>6022</v>
      </c>
      <c r="I253">
        <v>5080</v>
      </c>
      <c r="J253">
        <v>906</v>
      </c>
      <c r="K253">
        <v>0.58799999999999997</v>
      </c>
      <c r="L253">
        <v>7.6999999999999999E-2</v>
      </c>
      <c r="M253">
        <v>0.54900000000000004</v>
      </c>
      <c r="N253">
        <v>53.9</v>
      </c>
      <c r="O253">
        <v>0.15</v>
      </c>
      <c r="P253">
        <v>0.4</v>
      </c>
      <c r="Q253">
        <v>10.6</v>
      </c>
      <c r="R253">
        <v>26.8</v>
      </c>
      <c r="S253">
        <v>9.4</v>
      </c>
      <c r="T253">
        <v>7.9</v>
      </c>
      <c r="U253">
        <v>1.4</v>
      </c>
      <c r="V253" t="str">
        <f>IF(DraftData[[#This Row],[Pick]]&lt;=5,"Top 5",
IF(DraftData[[#This Row],[Pick]]&lt;=14,"Lottery",
IF(DraftData[[#This Row],[Pick]]&lt;=20,"Mid First","Late First")))</f>
        <v>Lottery</v>
      </c>
      <c r="W253" t="str">
        <f>IF(DraftData[[#This Row],[Win Shares]]&gt;=80,"Star",
IF(DraftData[[#This Row],[Win Shares]]&gt;=30,"Starter",
IF(DraftData[[#This Row],[Win Shares]]&gt;=10,"Rotation","Minimal")))</f>
        <v>Starter</v>
      </c>
      <c r="X253" t="str">
        <f>IF(AND(DraftData[[#This Row],[Pick]]&lt;=14,DraftData[[#This Row],[Win Shares]]&lt;10),"Yes","No")</f>
        <v>No</v>
      </c>
      <c r="Y253" s="2">
        <f>DraftData[[#This Row],[Win Shares]]/DraftData[[#This Row],[Pick]]</f>
        <v>4.4916666666666663</v>
      </c>
      <c r="Z253" s="2">
        <f>DraftData[[#This Row],[Win Shares]]-_xlfn.XLOOKUP(DraftData[[#This Row],[Pick]],'Lookup Tables'!$A$2:$A$31,'Lookup Tables'!$B$2:$B$31)</f>
        <v>32.583333333333329</v>
      </c>
    </row>
    <row r="254" spans="1:26">
      <c r="A254">
        <v>2013</v>
      </c>
      <c r="B254">
        <v>13</v>
      </c>
      <c r="C254" t="s">
        <v>154</v>
      </c>
      <c r="D254" t="s">
        <v>403</v>
      </c>
      <c r="E254" t="s">
        <v>115</v>
      </c>
      <c r="F254">
        <v>591</v>
      </c>
      <c r="G254">
        <v>13063</v>
      </c>
      <c r="H254">
        <v>5984</v>
      </c>
      <c r="I254">
        <v>3012</v>
      </c>
      <c r="J254">
        <v>1195</v>
      </c>
      <c r="K254">
        <v>0.47499999999999998</v>
      </c>
      <c r="L254">
        <v>0.36399999999999999</v>
      </c>
      <c r="M254">
        <v>0.77900000000000003</v>
      </c>
      <c r="N254">
        <v>34</v>
      </c>
      <c r="O254">
        <v>0.125</v>
      </c>
      <c r="P254">
        <v>0.8</v>
      </c>
      <c r="Q254">
        <v>9.3000000000000007</v>
      </c>
      <c r="R254">
        <v>22.1</v>
      </c>
      <c r="S254">
        <v>10.1</v>
      </c>
      <c r="T254">
        <v>5.0999999999999996</v>
      </c>
      <c r="U254">
        <v>2</v>
      </c>
      <c r="V254" t="str">
        <f>IF(DraftData[[#This Row],[Pick]]&lt;=5,"Top 5",
IF(DraftData[[#This Row],[Pick]]&lt;=14,"Lottery",
IF(DraftData[[#This Row],[Pick]]&lt;=20,"Mid First","Late First")))</f>
        <v>Lottery</v>
      </c>
      <c r="W254" t="str">
        <f>IF(DraftData[[#This Row],[Win Shares]]&gt;=80,"Star",
IF(DraftData[[#This Row],[Win Shares]]&gt;=30,"Starter",
IF(DraftData[[#This Row],[Win Shares]]&gt;=10,"Rotation","Minimal")))</f>
        <v>Starter</v>
      </c>
      <c r="X254" t="str">
        <f>IF(AND(DraftData[[#This Row],[Pick]]&lt;=14,DraftData[[#This Row],[Win Shares]]&lt;10),"Yes","No")</f>
        <v>No</v>
      </c>
      <c r="Y254" s="2">
        <f>DraftData[[#This Row],[Win Shares]]/DraftData[[#This Row],[Pick]]</f>
        <v>2.6153846153846154</v>
      </c>
      <c r="Z254" s="2">
        <f>DraftData[[#This Row],[Win Shares]]-_xlfn.XLOOKUP(DraftData[[#This Row],[Pick]],'Lookup Tables'!$A$2:$A$31,'Lookup Tables'!$B$2:$B$31)</f>
        <v>14.666666666666668</v>
      </c>
    </row>
    <row r="255" spans="1:26">
      <c r="A255">
        <v>2013</v>
      </c>
      <c r="B255">
        <v>14</v>
      </c>
      <c r="C255" t="s">
        <v>42</v>
      </c>
      <c r="D255" t="s">
        <v>404</v>
      </c>
      <c r="E255" t="s">
        <v>152</v>
      </c>
      <c r="F255">
        <v>278</v>
      </c>
      <c r="G255">
        <v>4772</v>
      </c>
      <c r="H255">
        <v>2504</v>
      </c>
      <c r="I255">
        <v>770</v>
      </c>
      <c r="J255">
        <v>151</v>
      </c>
      <c r="K255">
        <v>0.47299999999999998</v>
      </c>
      <c r="L255">
        <v>0.31900000000000001</v>
      </c>
      <c r="M255">
        <v>0.751</v>
      </c>
      <c r="N255">
        <v>8.5</v>
      </c>
      <c r="O255">
        <v>8.5000000000000006E-2</v>
      </c>
      <c r="P255">
        <v>-2</v>
      </c>
      <c r="Q255">
        <v>0</v>
      </c>
      <c r="R255">
        <v>17.2</v>
      </c>
      <c r="S255">
        <v>9</v>
      </c>
      <c r="T255">
        <v>2.8</v>
      </c>
      <c r="U255">
        <v>0.5</v>
      </c>
      <c r="V255" t="str">
        <f>IF(DraftData[[#This Row],[Pick]]&lt;=5,"Top 5",
IF(DraftData[[#This Row],[Pick]]&lt;=14,"Lottery",
IF(DraftData[[#This Row],[Pick]]&lt;=20,"Mid First","Late First")))</f>
        <v>Lottery</v>
      </c>
      <c r="W255" t="str">
        <f>IF(DraftData[[#This Row],[Win Shares]]&gt;=80,"Star",
IF(DraftData[[#This Row],[Win Shares]]&gt;=30,"Starter",
IF(DraftData[[#This Row],[Win Shares]]&gt;=10,"Rotation","Minimal")))</f>
        <v>Minimal</v>
      </c>
      <c r="X255" t="str">
        <f>IF(AND(DraftData[[#This Row],[Pick]]&lt;=14,DraftData[[#This Row],[Win Shares]]&lt;10),"Yes","No")</f>
        <v>Yes</v>
      </c>
      <c r="Y255" s="2">
        <f>DraftData[[#This Row],[Win Shares]]/DraftData[[#This Row],[Pick]]</f>
        <v>0.6071428571428571</v>
      </c>
      <c r="Z255" s="2">
        <f>DraftData[[#This Row],[Win Shares]]-_xlfn.XLOOKUP(DraftData[[#This Row],[Pick]],'Lookup Tables'!$A$2:$A$31,'Lookup Tables'!$B$2:$B$31)</f>
        <v>-6.2499999999999982</v>
      </c>
    </row>
    <row r="256" spans="1:26">
      <c r="A256">
        <v>2013</v>
      </c>
      <c r="B256">
        <v>15</v>
      </c>
      <c r="C256" t="s">
        <v>36</v>
      </c>
      <c r="D256" t="s">
        <v>405</v>
      </c>
      <c r="F256">
        <v>638</v>
      </c>
      <c r="G256">
        <v>20754</v>
      </c>
      <c r="H256">
        <v>13762</v>
      </c>
      <c r="I256">
        <v>5922</v>
      </c>
      <c r="J256">
        <v>2928</v>
      </c>
      <c r="K256">
        <v>0.53300000000000003</v>
      </c>
      <c r="L256">
        <v>0.28999999999999998</v>
      </c>
      <c r="M256">
        <v>0.71799999999999997</v>
      </c>
      <c r="N256">
        <v>84.4</v>
      </c>
      <c r="O256">
        <v>0.19500000000000001</v>
      </c>
      <c r="P256">
        <v>5.9</v>
      </c>
      <c r="Q256">
        <v>41.3</v>
      </c>
      <c r="R256">
        <v>32.5</v>
      </c>
      <c r="S256">
        <v>21.6</v>
      </c>
      <c r="T256">
        <v>9.3000000000000007</v>
      </c>
      <c r="U256">
        <v>4.5999999999999996</v>
      </c>
      <c r="V256" t="str">
        <f>IF(DraftData[[#This Row],[Pick]]&lt;=5,"Top 5",
IF(DraftData[[#This Row],[Pick]]&lt;=14,"Lottery",
IF(DraftData[[#This Row],[Pick]]&lt;=20,"Mid First","Late First")))</f>
        <v>Mid First</v>
      </c>
      <c r="W256" t="str">
        <f>IF(DraftData[[#This Row],[Win Shares]]&gt;=80,"Star",
IF(DraftData[[#This Row],[Win Shares]]&gt;=30,"Starter",
IF(DraftData[[#This Row],[Win Shares]]&gt;=10,"Rotation","Minimal")))</f>
        <v>Star</v>
      </c>
      <c r="X256" t="str">
        <f>IF(AND(DraftData[[#This Row],[Pick]]&lt;=14,DraftData[[#This Row],[Win Shares]]&lt;10),"Yes","No")</f>
        <v>No</v>
      </c>
      <c r="Y256" s="2">
        <f>DraftData[[#This Row],[Win Shares]]/DraftData[[#This Row],[Pick]]</f>
        <v>5.6266666666666669</v>
      </c>
      <c r="Z256" s="2">
        <f>DraftData[[#This Row],[Win Shares]]-_xlfn.XLOOKUP(DraftData[[#This Row],[Pick]],'Lookup Tables'!$A$2:$A$31,'Lookup Tables'!$B$2:$B$31)</f>
        <v>58.616666666666674</v>
      </c>
    </row>
    <row r="257" spans="1:26">
      <c r="A257">
        <v>2013</v>
      </c>
      <c r="B257">
        <v>16</v>
      </c>
      <c r="C257" t="s">
        <v>78</v>
      </c>
      <c r="D257" t="s">
        <v>406</v>
      </c>
      <c r="F257">
        <v>141</v>
      </c>
      <c r="G257">
        <v>1754</v>
      </c>
      <c r="H257">
        <v>446</v>
      </c>
      <c r="I257">
        <v>388</v>
      </c>
      <c r="J257">
        <v>72</v>
      </c>
      <c r="K257">
        <v>0.63200000000000001</v>
      </c>
      <c r="L257">
        <v>0.26500000000000001</v>
      </c>
      <c r="M257">
        <v>0.64</v>
      </c>
      <c r="N257">
        <v>6</v>
      </c>
      <c r="O257">
        <v>0.16500000000000001</v>
      </c>
      <c r="P257">
        <v>2.2999999999999998</v>
      </c>
      <c r="Q257">
        <v>1.9</v>
      </c>
      <c r="R257">
        <v>12.4</v>
      </c>
      <c r="S257">
        <v>3.2</v>
      </c>
      <c r="T257">
        <v>2.8</v>
      </c>
      <c r="U257">
        <v>0.5</v>
      </c>
      <c r="V257" t="str">
        <f>IF(DraftData[[#This Row],[Pick]]&lt;=5,"Top 5",
IF(DraftData[[#This Row],[Pick]]&lt;=14,"Lottery",
IF(DraftData[[#This Row],[Pick]]&lt;=20,"Mid First","Late First")))</f>
        <v>Mid First</v>
      </c>
      <c r="W257" t="str">
        <f>IF(DraftData[[#This Row],[Win Shares]]&gt;=80,"Star",
IF(DraftData[[#This Row],[Win Shares]]&gt;=30,"Starter",
IF(DraftData[[#This Row],[Win Shares]]&gt;=10,"Rotation","Minimal")))</f>
        <v>Minimal</v>
      </c>
      <c r="X257" t="str">
        <f>IF(AND(DraftData[[#This Row],[Pick]]&lt;=14,DraftData[[#This Row],[Win Shares]]&lt;10),"Yes","No")</f>
        <v>No</v>
      </c>
      <c r="Y257" s="2">
        <f>DraftData[[#This Row],[Win Shares]]/DraftData[[#This Row],[Pick]]</f>
        <v>0.375</v>
      </c>
      <c r="Z257" s="2">
        <f>DraftData[[#This Row],[Win Shares]]-_xlfn.XLOOKUP(DraftData[[#This Row],[Pick]],'Lookup Tables'!$A$2:$A$31,'Lookup Tables'!$B$2:$B$31)</f>
        <v>-10.983333333333334</v>
      </c>
    </row>
    <row r="258" spans="1:26">
      <c r="A258">
        <v>2013</v>
      </c>
      <c r="B258">
        <v>17</v>
      </c>
      <c r="C258" t="s">
        <v>39</v>
      </c>
      <c r="D258" t="s">
        <v>407</v>
      </c>
      <c r="F258">
        <v>609</v>
      </c>
      <c r="G258">
        <v>16130</v>
      </c>
      <c r="H258">
        <v>8679</v>
      </c>
      <c r="I258">
        <v>1791</v>
      </c>
      <c r="J258">
        <v>2842</v>
      </c>
      <c r="K258">
        <v>0.436</v>
      </c>
      <c r="L258">
        <v>0.33700000000000002</v>
      </c>
      <c r="M258">
        <v>0.83199999999999996</v>
      </c>
      <c r="N258">
        <v>23.4</v>
      </c>
      <c r="O258">
        <v>7.0000000000000007E-2</v>
      </c>
      <c r="P258">
        <v>-1.1000000000000001</v>
      </c>
      <c r="Q258">
        <v>3.5</v>
      </c>
      <c r="R258">
        <v>26.5</v>
      </c>
      <c r="S258">
        <v>14.3</v>
      </c>
      <c r="T258">
        <v>2.9</v>
      </c>
      <c r="U258">
        <v>4.7</v>
      </c>
      <c r="V258" t="str">
        <f>IF(DraftData[[#This Row],[Pick]]&lt;=5,"Top 5",
IF(DraftData[[#This Row],[Pick]]&lt;=14,"Lottery",
IF(DraftData[[#This Row],[Pick]]&lt;=20,"Mid First","Late First")))</f>
        <v>Mid First</v>
      </c>
      <c r="W258" t="str">
        <f>IF(DraftData[[#This Row],[Win Shares]]&gt;=80,"Star",
IF(DraftData[[#This Row],[Win Shares]]&gt;=30,"Starter",
IF(DraftData[[#This Row],[Win Shares]]&gt;=10,"Rotation","Minimal")))</f>
        <v>Rotation</v>
      </c>
      <c r="X258" t="str">
        <f>IF(AND(DraftData[[#This Row],[Pick]]&lt;=14,DraftData[[#This Row],[Win Shares]]&lt;10),"Yes","No")</f>
        <v>No</v>
      </c>
      <c r="Y258" s="2">
        <f>DraftData[[#This Row],[Win Shares]]/DraftData[[#This Row],[Pick]]</f>
        <v>1.3764705882352941</v>
      </c>
      <c r="Z258" s="2">
        <f>DraftData[[#This Row],[Win Shares]]-_xlfn.XLOOKUP(DraftData[[#This Row],[Pick]],'Lookup Tables'!$A$2:$A$31,'Lookup Tables'!$B$2:$B$31)</f>
        <v>6.0833333333333321</v>
      </c>
    </row>
    <row r="259" spans="1:26">
      <c r="A259">
        <v>2013</v>
      </c>
      <c r="B259">
        <v>18</v>
      </c>
      <c r="C259" t="s">
        <v>39</v>
      </c>
      <c r="D259" t="s">
        <v>408</v>
      </c>
      <c r="E259" t="s">
        <v>409</v>
      </c>
      <c r="F259">
        <v>256</v>
      </c>
      <c r="G259">
        <v>4880</v>
      </c>
      <c r="H259">
        <v>1399</v>
      </c>
      <c r="I259">
        <v>490</v>
      </c>
      <c r="J259">
        <v>737</v>
      </c>
      <c r="K259">
        <v>0.42199999999999999</v>
      </c>
      <c r="L259">
        <v>0.33600000000000002</v>
      </c>
      <c r="M259">
        <v>0.77700000000000002</v>
      </c>
      <c r="N259">
        <v>4.4000000000000004</v>
      </c>
      <c r="O259">
        <v>4.3999999999999997E-2</v>
      </c>
      <c r="P259">
        <v>-2.4</v>
      </c>
      <c r="Q259">
        <v>-0.6</v>
      </c>
      <c r="R259">
        <v>19.100000000000001</v>
      </c>
      <c r="S259">
        <v>5.5</v>
      </c>
      <c r="T259">
        <v>1.9</v>
      </c>
      <c r="U259">
        <v>2.9</v>
      </c>
      <c r="V259" t="str">
        <f>IF(DraftData[[#This Row],[Pick]]&lt;=5,"Top 5",
IF(DraftData[[#This Row],[Pick]]&lt;=14,"Lottery",
IF(DraftData[[#This Row],[Pick]]&lt;=20,"Mid First","Late First")))</f>
        <v>Mid First</v>
      </c>
      <c r="W259" t="str">
        <f>IF(DraftData[[#This Row],[Win Shares]]&gt;=80,"Star",
IF(DraftData[[#This Row],[Win Shares]]&gt;=30,"Starter",
IF(DraftData[[#This Row],[Win Shares]]&gt;=10,"Rotation","Minimal")))</f>
        <v>Minimal</v>
      </c>
      <c r="X259" t="str">
        <f>IF(AND(DraftData[[#This Row],[Pick]]&lt;=14,DraftData[[#This Row],[Win Shares]]&lt;10),"Yes","No")</f>
        <v>No</v>
      </c>
      <c r="Y259" s="2">
        <f>DraftData[[#This Row],[Win Shares]]/DraftData[[#This Row],[Pick]]</f>
        <v>0.24444444444444446</v>
      </c>
      <c r="Z259" s="2">
        <f>DraftData[[#This Row],[Win Shares]]-_xlfn.XLOOKUP(DraftData[[#This Row],[Pick]],'Lookup Tables'!$A$2:$A$31,'Lookup Tables'!$B$2:$B$31)</f>
        <v>-12.908333333333333</v>
      </c>
    </row>
    <row r="260" spans="1:26">
      <c r="A260">
        <v>2013</v>
      </c>
      <c r="B260">
        <v>19</v>
      </c>
      <c r="C260" t="s">
        <v>148</v>
      </c>
      <c r="D260" t="s">
        <v>410</v>
      </c>
      <c r="F260">
        <v>95</v>
      </c>
      <c r="G260">
        <v>1110</v>
      </c>
      <c r="H260">
        <v>287</v>
      </c>
      <c r="I260">
        <v>140</v>
      </c>
      <c r="J260">
        <v>87</v>
      </c>
      <c r="K260">
        <v>0.39500000000000002</v>
      </c>
      <c r="L260">
        <v>0.28199999999999997</v>
      </c>
      <c r="M260">
        <v>0.84199999999999997</v>
      </c>
      <c r="N260">
        <v>0.8</v>
      </c>
      <c r="O260">
        <v>3.5999999999999997E-2</v>
      </c>
      <c r="P260">
        <v>-3.4</v>
      </c>
      <c r="Q260">
        <v>-0.4</v>
      </c>
      <c r="R260">
        <v>11.7</v>
      </c>
      <c r="S260">
        <v>3</v>
      </c>
      <c r="T260">
        <v>1.5</v>
      </c>
      <c r="U260">
        <v>0.9</v>
      </c>
      <c r="V260" t="str">
        <f>IF(DraftData[[#This Row],[Pick]]&lt;=5,"Top 5",
IF(DraftData[[#This Row],[Pick]]&lt;=14,"Lottery",
IF(DraftData[[#This Row],[Pick]]&lt;=20,"Mid First","Late First")))</f>
        <v>Mid First</v>
      </c>
      <c r="W260" t="str">
        <f>IF(DraftData[[#This Row],[Win Shares]]&gt;=80,"Star",
IF(DraftData[[#This Row],[Win Shares]]&gt;=30,"Starter",
IF(DraftData[[#This Row],[Win Shares]]&gt;=10,"Rotation","Minimal")))</f>
        <v>Minimal</v>
      </c>
      <c r="X260" t="str">
        <f>IF(AND(DraftData[[#This Row],[Pick]]&lt;=14,DraftData[[#This Row],[Win Shares]]&lt;10),"Yes","No")</f>
        <v>No</v>
      </c>
      <c r="Y260" s="2">
        <f>DraftData[[#This Row],[Win Shares]]/DraftData[[#This Row],[Pick]]</f>
        <v>4.2105263157894736E-2</v>
      </c>
      <c r="Z260" s="2">
        <f>DraftData[[#This Row],[Win Shares]]-_xlfn.XLOOKUP(DraftData[[#This Row],[Pick]],'Lookup Tables'!$A$2:$A$31,'Lookup Tables'!$B$2:$B$31)</f>
        <v>-16.775000000000002</v>
      </c>
    </row>
    <row r="261" spans="1:26">
      <c r="A261">
        <v>2013</v>
      </c>
      <c r="B261">
        <v>20</v>
      </c>
      <c r="C261" t="s">
        <v>111</v>
      </c>
      <c r="D261" t="s">
        <v>411</v>
      </c>
      <c r="E261" t="s">
        <v>77</v>
      </c>
      <c r="F261">
        <v>589</v>
      </c>
      <c r="G261">
        <v>12870</v>
      </c>
      <c r="H261">
        <v>3608</v>
      </c>
      <c r="I261">
        <v>1346</v>
      </c>
      <c r="J261">
        <v>663</v>
      </c>
      <c r="K261">
        <v>0.43099999999999999</v>
      </c>
      <c r="L261">
        <v>0.39400000000000002</v>
      </c>
      <c r="M261">
        <v>0.84499999999999997</v>
      </c>
      <c r="N261">
        <v>18.399999999999999</v>
      </c>
      <c r="O261">
        <v>6.9000000000000006E-2</v>
      </c>
      <c r="P261">
        <v>-2</v>
      </c>
      <c r="Q261">
        <v>0</v>
      </c>
      <c r="R261">
        <v>21.9</v>
      </c>
      <c r="S261">
        <v>6.1</v>
      </c>
      <c r="T261">
        <v>2.2999999999999998</v>
      </c>
      <c r="U261">
        <v>1.1000000000000001</v>
      </c>
      <c r="V261" t="str">
        <f>IF(DraftData[[#This Row],[Pick]]&lt;=5,"Top 5",
IF(DraftData[[#This Row],[Pick]]&lt;=14,"Lottery",
IF(DraftData[[#This Row],[Pick]]&lt;=20,"Mid First","Late First")))</f>
        <v>Mid First</v>
      </c>
      <c r="W261" t="str">
        <f>IF(DraftData[[#This Row],[Win Shares]]&gt;=80,"Star",
IF(DraftData[[#This Row],[Win Shares]]&gt;=30,"Starter",
IF(DraftData[[#This Row],[Win Shares]]&gt;=10,"Rotation","Minimal")))</f>
        <v>Rotation</v>
      </c>
      <c r="X261" t="str">
        <f>IF(AND(DraftData[[#This Row],[Pick]]&lt;=14,DraftData[[#This Row],[Win Shares]]&lt;10),"Yes","No")</f>
        <v>No</v>
      </c>
      <c r="Y261" s="2">
        <f>DraftData[[#This Row],[Win Shares]]/DraftData[[#This Row],[Pick]]</f>
        <v>0.91999999999999993</v>
      </c>
      <c r="Z261" s="2">
        <f>DraftData[[#This Row],[Win Shares]]-_xlfn.XLOOKUP(DraftData[[#This Row],[Pick]],'Lookup Tables'!$A$2:$A$31,'Lookup Tables'!$B$2:$B$31)</f>
        <v>8.0083333333333311</v>
      </c>
    </row>
    <row r="262" spans="1:26">
      <c r="A262">
        <v>2013</v>
      </c>
      <c r="B262">
        <v>21</v>
      </c>
      <c r="C262" t="s">
        <v>42</v>
      </c>
      <c r="D262" t="s">
        <v>412</v>
      </c>
      <c r="E262" t="s">
        <v>93</v>
      </c>
      <c r="F262">
        <v>590</v>
      </c>
      <c r="G262">
        <v>12228</v>
      </c>
      <c r="H262">
        <v>4448</v>
      </c>
      <c r="I262">
        <v>3418</v>
      </c>
      <c r="J262">
        <v>779</v>
      </c>
      <c r="K262">
        <v>0.5</v>
      </c>
      <c r="L262">
        <v>0.36499999999999999</v>
      </c>
      <c r="M262">
        <v>0.79100000000000004</v>
      </c>
      <c r="N262">
        <v>30.5</v>
      </c>
      <c r="O262">
        <v>0.12</v>
      </c>
      <c r="P262">
        <v>0.4</v>
      </c>
      <c r="Q262">
        <v>7.2</v>
      </c>
      <c r="R262">
        <v>20.7</v>
      </c>
      <c r="S262">
        <v>7.5</v>
      </c>
      <c r="T262">
        <v>5.8</v>
      </c>
      <c r="U262">
        <v>1.3</v>
      </c>
      <c r="V262" t="str">
        <f>IF(DraftData[[#This Row],[Pick]]&lt;=5,"Top 5",
IF(DraftData[[#This Row],[Pick]]&lt;=14,"Lottery",
IF(DraftData[[#This Row],[Pick]]&lt;=20,"Mid First","Late First")))</f>
        <v>Late First</v>
      </c>
      <c r="W262" t="str">
        <f>IF(DraftData[[#This Row],[Win Shares]]&gt;=80,"Star",
IF(DraftData[[#This Row],[Win Shares]]&gt;=30,"Starter",
IF(DraftData[[#This Row],[Win Shares]]&gt;=10,"Rotation","Minimal")))</f>
        <v>Starter</v>
      </c>
      <c r="X262" t="str">
        <f>IF(AND(DraftData[[#This Row],[Pick]]&lt;=14,DraftData[[#This Row],[Win Shares]]&lt;10),"Yes","No")</f>
        <v>No</v>
      </c>
      <c r="Y262" s="2">
        <f>DraftData[[#This Row],[Win Shares]]/DraftData[[#This Row],[Pick]]</f>
        <v>1.4523809523809523</v>
      </c>
      <c r="Z262" s="2">
        <f>DraftData[[#This Row],[Win Shares]]-_xlfn.XLOOKUP(DraftData[[#This Row],[Pick]],'Lookup Tables'!$A$2:$A$31,'Lookup Tables'!$B$2:$B$31)</f>
        <v>9.9999999999999964</v>
      </c>
    </row>
    <row r="263" spans="1:26">
      <c r="A263">
        <v>2013</v>
      </c>
      <c r="B263">
        <v>22</v>
      </c>
      <c r="C263" t="s">
        <v>70</v>
      </c>
      <c r="D263" t="s">
        <v>413</v>
      </c>
      <c r="E263" t="s">
        <v>119</v>
      </c>
      <c r="F263">
        <v>639</v>
      </c>
      <c r="G263">
        <v>14274</v>
      </c>
      <c r="H263">
        <v>5349</v>
      </c>
      <c r="I263">
        <v>4222</v>
      </c>
      <c r="J263">
        <v>1542</v>
      </c>
      <c r="K263">
        <v>0.58199999999999996</v>
      </c>
      <c r="L263">
        <v>4.9000000000000002E-2</v>
      </c>
      <c r="M263">
        <v>0.56100000000000005</v>
      </c>
      <c r="N263">
        <v>42.8</v>
      </c>
      <c r="O263">
        <v>0.14399999999999999</v>
      </c>
      <c r="P263">
        <v>1.3</v>
      </c>
      <c r="Q263">
        <v>11.9</v>
      </c>
      <c r="R263">
        <v>22.3</v>
      </c>
      <c r="S263">
        <v>8.4</v>
      </c>
      <c r="T263">
        <v>6.6</v>
      </c>
      <c r="U263">
        <v>2.4</v>
      </c>
      <c r="V263" t="str">
        <f>IF(DraftData[[#This Row],[Pick]]&lt;=5,"Top 5",
IF(DraftData[[#This Row],[Pick]]&lt;=14,"Lottery",
IF(DraftData[[#This Row],[Pick]]&lt;=20,"Mid First","Late First")))</f>
        <v>Late First</v>
      </c>
      <c r="W263" t="str">
        <f>IF(DraftData[[#This Row],[Win Shares]]&gt;=80,"Star",
IF(DraftData[[#This Row],[Win Shares]]&gt;=30,"Starter",
IF(DraftData[[#This Row],[Win Shares]]&gt;=10,"Rotation","Minimal")))</f>
        <v>Starter</v>
      </c>
      <c r="X263" t="str">
        <f>IF(AND(DraftData[[#This Row],[Pick]]&lt;=14,DraftData[[#This Row],[Win Shares]]&lt;10),"Yes","No")</f>
        <v>No</v>
      </c>
      <c r="Y263" s="2">
        <f>DraftData[[#This Row],[Win Shares]]/DraftData[[#This Row],[Pick]]</f>
        <v>1.9454545454545453</v>
      </c>
      <c r="Z263" s="2">
        <f>DraftData[[#This Row],[Win Shares]]-_xlfn.XLOOKUP(DraftData[[#This Row],[Pick]],'Lookup Tables'!$A$2:$A$31,'Lookup Tables'!$B$2:$B$31)</f>
        <v>24.316666666666659</v>
      </c>
    </row>
    <row r="264" spans="1:26">
      <c r="A264">
        <v>2013</v>
      </c>
      <c r="B264">
        <v>23</v>
      </c>
      <c r="C264" t="s">
        <v>75</v>
      </c>
      <c r="D264" t="s">
        <v>414</v>
      </c>
      <c r="E264" t="s">
        <v>57</v>
      </c>
      <c r="F264">
        <v>448</v>
      </c>
      <c r="G264">
        <v>9652</v>
      </c>
      <c r="H264">
        <v>2453</v>
      </c>
      <c r="I264">
        <v>1399</v>
      </c>
      <c r="J264">
        <v>662</v>
      </c>
      <c r="K264">
        <v>0.38800000000000001</v>
      </c>
      <c r="L264">
        <v>0.33100000000000002</v>
      </c>
      <c r="M264">
        <v>0.79700000000000004</v>
      </c>
      <c r="N264">
        <v>11.9</v>
      </c>
      <c r="O264">
        <v>5.8999999999999997E-2</v>
      </c>
      <c r="P264">
        <v>-2.1</v>
      </c>
      <c r="Q264">
        <v>-0.3</v>
      </c>
      <c r="R264">
        <v>21.5</v>
      </c>
      <c r="S264">
        <v>5.5</v>
      </c>
      <c r="T264">
        <v>3.1</v>
      </c>
      <c r="U264">
        <v>1.5</v>
      </c>
      <c r="V264" t="str">
        <f>IF(DraftData[[#This Row],[Pick]]&lt;=5,"Top 5",
IF(DraftData[[#This Row],[Pick]]&lt;=14,"Lottery",
IF(DraftData[[#This Row],[Pick]]&lt;=20,"Mid First","Late First")))</f>
        <v>Late First</v>
      </c>
      <c r="W264" t="str">
        <f>IF(DraftData[[#This Row],[Win Shares]]&gt;=80,"Star",
IF(DraftData[[#This Row],[Win Shares]]&gt;=30,"Starter",
IF(DraftData[[#This Row],[Win Shares]]&gt;=10,"Rotation","Minimal")))</f>
        <v>Rotation</v>
      </c>
      <c r="X264" t="str">
        <f>IF(AND(DraftData[[#This Row],[Pick]]&lt;=14,DraftData[[#This Row],[Win Shares]]&lt;10),"Yes","No")</f>
        <v>No</v>
      </c>
      <c r="Y264" s="2">
        <f>DraftData[[#This Row],[Win Shares]]/DraftData[[#This Row],[Pick]]</f>
        <v>0.5173913043478261</v>
      </c>
      <c r="Z264" s="2">
        <f>DraftData[[#This Row],[Win Shares]]-_xlfn.XLOOKUP(DraftData[[#This Row],[Pick]],'Lookup Tables'!$A$2:$A$31,'Lookup Tables'!$B$2:$B$31)</f>
        <v>-4.7416666666666654</v>
      </c>
    </row>
    <row r="265" spans="1:26">
      <c r="A265">
        <v>2013</v>
      </c>
      <c r="B265">
        <v>24</v>
      </c>
      <c r="C265" t="s">
        <v>55</v>
      </c>
      <c r="D265" t="s">
        <v>415</v>
      </c>
      <c r="E265" t="s">
        <v>397</v>
      </c>
      <c r="F265">
        <v>586</v>
      </c>
      <c r="G265">
        <v>15837</v>
      </c>
      <c r="H265">
        <v>8149</v>
      </c>
      <c r="I265">
        <v>1650</v>
      </c>
      <c r="J265">
        <v>1095</v>
      </c>
      <c r="K265">
        <v>0.42199999999999999</v>
      </c>
      <c r="L265">
        <v>0.35799999999999998</v>
      </c>
      <c r="M265">
        <v>0.81200000000000006</v>
      </c>
      <c r="N265">
        <v>26</v>
      </c>
      <c r="O265">
        <v>7.9000000000000001E-2</v>
      </c>
      <c r="P265">
        <v>-0.8</v>
      </c>
      <c r="Q265">
        <v>4.9000000000000004</v>
      </c>
      <c r="R265">
        <v>27</v>
      </c>
      <c r="S265">
        <v>13.9</v>
      </c>
      <c r="T265">
        <v>2.8</v>
      </c>
      <c r="U265">
        <v>1.9</v>
      </c>
      <c r="V265" t="str">
        <f>IF(DraftData[[#This Row],[Pick]]&lt;=5,"Top 5",
IF(DraftData[[#This Row],[Pick]]&lt;=14,"Lottery",
IF(DraftData[[#This Row],[Pick]]&lt;=20,"Mid First","Late First")))</f>
        <v>Late First</v>
      </c>
      <c r="W265" t="str">
        <f>IF(DraftData[[#This Row],[Win Shares]]&gt;=80,"Star",
IF(DraftData[[#This Row],[Win Shares]]&gt;=30,"Starter",
IF(DraftData[[#This Row],[Win Shares]]&gt;=10,"Rotation","Minimal")))</f>
        <v>Rotation</v>
      </c>
      <c r="X265" t="str">
        <f>IF(AND(DraftData[[#This Row],[Pick]]&lt;=14,DraftData[[#This Row],[Win Shares]]&lt;10),"Yes","No")</f>
        <v>No</v>
      </c>
      <c r="Y265" s="2">
        <f>DraftData[[#This Row],[Win Shares]]/DraftData[[#This Row],[Pick]]</f>
        <v>1.0833333333333333</v>
      </c>
      <c r="Z265" s="2">
        <f>DraftData[[#This Row],[Win Shares]]-_xlfn.XLOOKUP(DraftData[[#This Row],[Pick]],'Lookup Tables'!$A$2:$A$31,'Lookup Tables'!$B$2:$B$31)</f>
        <v>1.5</v>
      </c>
    </row>
    <row r="266" spans="1:26">
      <c r="A266">
        <v>2013</v>
      </c>
      <c r="B266">
        <v>25</v>
      </c>
      <c r="C266" t="s">
        <v>65</v>
      </c>
      <c r="D266" t="s">
        <v>416</v>
      </c>
      <c r="E266" t="s">
        <v>41</v>
      </c>
      <c r="F266">
        <v>415</v>
      </c>
      <c r="G266">
        <v>9115</v>
      </c>
      <c r="H266">
        <v>3200</v>
      </c>
      <c r="I266">
        <v>1021</v>
      </c>
      <c r="J266">
        <v>492</v>
      </c>
      <c r="K266">
        <v>0.43099999999999999</v>
      </c>
      <c r="L266">
        <v>0.38800000000000001</v>
      </c>
      <c r="M266">
        <v>0.84599999999999997</v>
      </c>
      <c r="N266">
        <v>17.3</v>
      </c>
      <c r="O266">
        <v>9.0999999999999998E-2</v>
      </c>
      <c r="P266">
        <v>-0.7</v>
      </c>
      <c r="Q266">
        <v>3</v>
      </c>
      <c r="R266">
        <v>22</v>
      </c>
      <c r="S266">
        <v>7.7</v>
      </c>
      <c r="T266">
        <v>2.5</v>
      </c>
      <c r="U266">
        <v>1.2</v>
      </c>
      <c r="V266" t="str">
        <f>IF(DraftData[[#This Row],[Pick]]&lt;=5,"Top 5",
IF(DraftData[[#This Row],[Pick]]&lt;=14,"Lottery",
IF(DraftData[[#This Row],[Pick]]&lt;=20,"Mid First","Late First")))</f>
        <v>Late First</v>
      </c>
      <c r="W266" t="str">
        <f>IF(DraftData[[#This Row],[Win Shares]]&gt;=80,"Star",
IF(DraftData[[#This Row],[Win Shares]]&gt;=30,"Starter",
IF(DraftData[[#This Row],[Win Shares]]&gt;=10,"Rotation","Minimal")))</f>
        <v>Rotation</v>
      </c>
      <c r="X266" t="str">
        <f>IF(AND(DraftData[[#This Row],[Pick]]&lt;=14,DraftData[[#This Row],[Win Shares]]&lt;10),"Yes","No")</f>
        <v>No</v>
      </c>
      <c r="Y266" s="2">
        <f>DraftData[[#This Row],[Win Shares]]/DraftData[[#This Row],[Pick]]</f>
        <v>0.69200000000000006</v>
      </c>
      <c r="Z266" s="2">
        <f>DraftData[[#This Row],[Win Shares]]-_xlfn.XLOOKUP(DraftData[[#This Row],[Pick]],'Lookup Tables'!$A$2:$A$31,'Lookup Tables'!$B$2:$B$31)</f>
        <v>4.4000000000000021</v>
      </c>
    </row>
    <row r="267" spans="1:26">
      <c r="A267">
        <v>2013</v>
      </c>
      <c r="B267">
        <v>26</v>
      </c>
      <c r="C267" t="s">
        <v>68</v>
      </c>
      <c r="D267" t="s">
        <v>417</v>
      </c>
      <c r="E267" t="s">
        <v>325</v>
      </c>
      <c r="F267">
        <v>307</v>
      </c>
      <c r="G267">
        <v>6801</v>
      </c>
      <c r="H267">
        <v>1382</v>
      </c>
      <c r="I267">
        <v>1230</v>
      </c>
      <c r="J267">
        <v>265</v>
      </c>
      <c r="K267">
        <v>0.47299999999999998</v>
      </c>
      <c r="L267">
        <v>0.253</v>
      </c>
      <c r="M267">
        <v>0.46800000000000003</v>
      </c>
      <c r="N267">
        <v>12.6</v>
      </c>
      <c r="O267">
        <v>8.8999999999999996E-2</v>
      </c>
      <c r="P267">
        <v>-0.6</v>
      </c>
      <c r="Q267">
        <v>2.2999999999999998</v>
      </c>
      <c r="R267">
        <v>22.2</v>
      </c>
      <c r="S267">
        <v>4.5</v>
      </c>
      <c r="T267">
        <v>4</v>
      </c>
      <c r="U267">
        <v>0.9</v>
      </c>
      <c r="V267" t="str">
        <f>IF(DraftData[[#This Row],[Pick]]&lt;=5,"Top 5",
IF(DraftData[[#This Row],[Pick]]&lt;=14,"Lottery",
IF(DraftData[[#This Row],[Pick]]&lt;=20,"Mid First","Late First")))</f>
        <v>Late First</v>
      </c>
      <c r="W267" t="str">
        <f>IF(DraftData[[#This Row],[Win Shares]]&gt;=80,"Star",
IF(DraftData[[#This Row],[Win Shares]]&gt;=30,"Starter",
IF(DraftData[[#This Row],[Win Shares]]&gt;=10,"Rotation","Minimal")))</f>
        <v>Rotation</v>
      </c>
      <c r="X267" t="str">
        <f>IF(AND(DraftData[[#This Row],[Pick]]&lt;=14,DraftData[[#This Row],[Win Shares]]&lt;10),"Yes","No")</f>
        <v>No</v>
      </c>
      <c r="Y267" s="2">
        <f>DraftData[[#This Row],[Win Shares]]/DraftData[[#This Row],[Pick]]</f>
        <v>0.48461538461538461</v>
      </c>
      <c r="Z267" s="2">
        <f>DraftData[[#This Row],[Win Shares]]-_xlfn.XLOOKUP(DraftData[[#This Row],[Pick]],'Lookup Tables'!$A$2:$A$31,'Lookup Tables'!$B$2:$B$31)</f>
        <v>-7.8000000000000025</v>
      </c>
    </row>
    <row r="268" spans="1:26">
      <c r="A268">
        <v>2013</v>
      </c>
      <c r="B268">
        <v>27</v>
      </c>
      <c r="C268" t="s">
        <v>83</v>
      </c>
      <c r="D268" t="s">
        <v>418</v>
      </c>
      <c r="F268">
        <v>589</v>
      </c>
      <c r="G268">
        <v>17595</v>
      </c>
      <c r="H268">
        <v>7254</v>
      </c>
      <c r="I268">
        <v>6802</v>
      </c>
      <c r="J268">
        <v>786</v>
      </c>
      <c r="K268">
        <v>0.65100000000000002</v>
      </c>
      <c r="L268">
        <v>0</v>
      </c>
      <c r="M268">
        <v>0.63500000000000001</v>
      </c>
      <c r="N268">
        <v>82.9</v>
      </c>
      <c r="O268">
        <v>0.22600000000000001</v>
      </c>
      <c r="P268">
        <v>4</v>
      </c>
      <c r="Q268">
        <v>26.8</v>
      </c>
      <c r="R268">
        <v>29.9</v>
      </c>
      <c r="S268">
        <v>12.3</v>
      </c>
      <c r="T268">
        <v>11.5</v>
      </c>
      <c r="U268">
        <v>1.3</v>
      </c>
      <c r="V268" t="str">
        <f>IF(DraftData[[#This Row],[Pick]]&lt;=5,"Top 5",
IF(DraftData[[#This Row],[Pick]]&lt;=14,"Lottery",
IF(DraftData[[#This Row],[Pick]]&lt;=20,"Mid First","Late First")))</f>
        <v>Late First</v>
      </c>
      <c r="W268" t="str">
        <f>IF(DraftData[[#This Row],[Win Shares]]&gt;=80,"Star",
IF(DraftData[[#This Row],[Win Shares]]&gt;=30,"Starter",
IF(DraftData[[#This Row],[Win Shares]]&gt;=10,"Rotation","Minimal")))</f>
        <v>Star</v>
      </c>
      <c r="X268" t="str">
        <f>IF(AND(DraftData[[#This Row],[Pick]]&lt;=14,DraftData[[#This Row],[Win Shares]]&lt;10),"Yes","No")</f>
        <v>No</v>
      </c>
      <c r="Y268" s="2">
        <f>DraftData[[#This Row],[Win Shares]]/DraftData[[#This Row],[Pick]]</f>
        <v>3.0703703703703704</v>
      </c>
      <c r="Z268" s="2">
        <f>DraftData[[#This Row],[Win Shares]]-_xlfn.XLOOKUP(DraftData[[#This Row],[Pick]],'Lookup Tables'!$A$2:$A$31,'Lookup Tables'!$B$2:$B$31)</f>
        <v>61.791666666666671</v>
      </c>
    </row>
    <row r="269" spans="1:26">
      <c r="A269">
        <v>2013</v>
      </c>
      <c r="B269">
        <v>28</v>
      </c>
      <c r="C269" t="s">
        <v>103</v>
      </c>
      <c r="D269" t="s">
        <v>419</v>
      </c>
      <c r="V269" t="str">
        <f>IF(DraftData[[#This Row],[Pick]]&lt;=5,"Top 5",
IF(DraftData[[#This Row],[Pick]]&lt;=14,"Lottery",
IF(DraftData[[#This Row],[Pick]]&lt;=20,"Mid First","Late First")))</f>
        <v>Late First</v>
      </c>
      <c r="W269" t="str">
        <f>IF(DraftData[[#This Row],[Win Shares]]&gt;=80,"Star",
IF(DraftData[[#This Row],[Win Shares]]&gt;=30,"Starter",
IF(DraftData[[#This Row],[Win Shares]]&gt;=10,"Rotation","Minimal")))</f>
        <v>Minimal</v>
      </c>
      <c r="X269" t="str">
        <f>IF(AND(DraftData[[#This Row],[Pick]]&lt;=14,DraftData[[#This Row],[Win Shares]]&lt;10),"Yes","No")</f>
        <v>No</v>
      </c>
      <c r="Y269" s="2">
        <f>DraftData[[#This Row],[Win Shares]]/DraftData[[#This Row],[Pick]]</f>
        <v>0</v>
      </c>
      <c r="Z269" s="2">
        <f>DraftData[[#This Row],[Win Shares]]-_xlfn.XLOOKUP(DraftData[[#This Row],[Pick]],'Lookup Tables'!$A$2:$A$31,'Lookup Tables'!$B$2:$B$31)</f>
        <v>-8.6454545454545464</v>
      </c>
    </row>
    <row r="270" spans="1:26">
      <c r="A270">
        <v>2013</v>
      </c>
      <c r="B270">
        <v>29</v>
      </c>
      <c r="C270" t="s">
        <v>96</v>
      </c>
      <c r="D270" t="s">
        <v>420</v>
      </c>
      <c r="E270" t="s">
        <v>144</v>
      </c>
      <c r="F270">
        <v>165</v>
      </c>
      <c r="G270">
        <v>2396</v>
      </c>
      <c r="H270">
        <v>1040</v>
      </c>
      <c r="I270">
        <v>331</v>
      </c>
      <c r="J270">
        <v>206</v>
      </c>
      <c r="K270">
        <v>0.42899999999999999</v>
      </c>
      <c r="L270">
        <v>0.23599999999999999</v>
      </c>
      <c r="M270">
        <v>0.7</v>
      </c>
      <c r="N270">
        <v>1.1000000000000001</v>
      </c>
      <c r="O270">
        <v>2.1999999999999999E-2</v>
      </c>
      <c r="P270">
        <v>-3</v>
      </c>
      <c r="Q270">
        <v>-0.6</v>
      </c>
      <c r="R270">
        <v>14.5</v>
      </c>
      <c r="S270">
        <v>6.3</v>
      </c>
      <c r="T270">
        <v>2</v>
      </c>
      <c r="U270">
        <v>1.2</v>
      </c>
      <c r="V270" t="str">
        <f>IF(DraftData[[#This Row],[Pick]]&lt;=5,"Top 5",
IF(DraftData[[#This Row],[Pick]]&lt;=14,"Lottery",
IF(DraftData[[#This Row],[Pick]]&lt;=20,"Mid First","Late First")))</f>
        <v>Late First</v>
      </c>
      <c r="W270" t="str">
        <f>IF(DraftData[[#This Row],[Win Shares]]&gt;=80,"Star",
IF(DraftData[[#This Row],[Win Shares]]&gt;=30,"Starter",
IF(DraftData[[#This Row],[Win Shares]]&gt;=10,"Rotation","Minimal")))</f>
        <v>Minimal</v>
      </c>
      <c r="X270" t="str">
        <f>IF(AND(DraftData[[#This Row],[Pick]]&lt;=14,DraftData[[#This Row],[Win Shares]]&lt;10),"Yes","No")</f>
        <v>No</v>
      </c>
      <c r="Y270" s="2">
        <f>DraftData[[#This Row],[Win Shares]]/DraftData[[#This Row],[Pick]]</f>
        <v>3.7931034482758627E-2</v>
      </c>
      <c r="Z270" s="2">
        <f>DraftData[[#This Row],[Win Shares]]-_xlfn.XLOOKUP(DraftData[[#This Row],[Pick]],'Lookup Tables'!$A$2:$A$31,'Lookup Tables'!$B$2:$B$31)</f>
        <v>-3.9666666666666672</v>
      </c>
    </row>
    <row r="271" spans="1:26">
      <c r="A271">
        <v>2013</v>
      </c>
      <c r="B271">
        <v>30</v>
      </c>
      <c r="C271" t="s">
        <v>86</v>
      </c>
      <c r="D271" t="s">
        <v>421</v>
      </c>
      <c r="F271">
        <v>24</v>
      </c>
      <c r="G271">
        <v>142</v>
      </c>
      <c r="H271">
        <v>26</v>
      </c>
      <c r="I271">
        <v>15</v>
      </c>
      <c r="J271">
        <v>13</v>
      </c>
      <c r="K271">
        <v>0.20499999999999999</v>
      </c>
      <c r="L271">
        <v>0.16700000000000001</v>
      </c>
      <c r="M271">
        <v>0.875</v>
      </c>
      <c r="N271">
        <v>-0.4</v>
      </c>
      <c r="O271">
        <v>-0.13200000000000001</v>
      </c>
      <c r="P271">
        <v>-10</v>
      </c>
      <c r="Q271">
        <v>-0.3</v>
      </c>
      <c r="R271">
        <v>5.9</v>
      </c>
      <c r="S271">
        <v>1.1000000000000001</v>
      </c>
      <c r="T271">
        <v>0.6</v>
      </c>
      <c r="U271">
        <v>0.5</v>
      </c>
      <c r="V271" t="str">
        <f>IF(DraftData[[#This Row],[Pick]]&lt;=5,"Top 5",
IF(DraftData[[#This Row],[Pick]]&lt;=14,"Lottery",
IF(DraftData[[#This Row],[Pick]]&lt;=20,"Mid First","Late First")))</f>
        <v>Late First</v>
      </c>
      <c r="W271" t="str">
        <f>IF(DraftData[[#This Row],[Win Shares]]&gt;=80,"Star",
IF(DraftData[[#This Row],[Win Shares]]&gt;=30,"Starter",
IF(DraftData[[#This Row],[Win Shares]]&gt;=10,"Rotation","Minimal")))</f>
        <v>Minimal</v>
      </c>
      <c r="X271" t="str">
        <f>IF(AND(DraftData[[#This Row],[Pick]]&lt;=14,DraftData[[#This Row],[Win Shares]]&lt;10),"Yes","No")</f>
        <v>No</v>
      </c>
      <c r="Y271" s="2">
        <f>DraftData[[#This Row],[Win Shares]]/DraftData[[#This Row],[Pick]]</f>
        <v>-1.3333333333333334E-2</v>
      </c>
      <c r="Z271" s="2">
        <f>DraftData[[#This Row],[Win Shares]]-_xlfn.XLOOKUP(DraftData[[#This Row],[Pick]],'Lookup Tables'!$A$2:$A$31,'Lookup Tables'!$B$2:$B$31)</f>
        <v>-21.118181818181814</v>
      </c>
    </row>
    <row r="272" spans="1:26">
      <c r="A272">
        <v>2014</v>
      </c>
      <c r="B272">
        <v>1</v>
      </c>
      <c r="C272" t="s">
        <v>148</v>
      </c>
      <c r="D272" t="s">
        <v>422</v>
      </c>
      <c r="E272" t="s">
        <v>107</v>
      </c>
      <c r="F272">
        <v>579</v>
      </c>
      <c r="G272">
        <v>20319</v>
      </c>
      <c r="H272">
        <v>11220</v>
      </c>
      <c r="I272">
        <v>2553</v>
      </c>
      <c r="J272">
        <v>1348</v>
      </c>
      <c r="K272">
        <v>0.44900000000000001</v>
      </c>
      <c r="L272">
        <v>0.35099999999999998</v>
      </c>
      <c r="M272">
        <v>0.72699999999999998</v>
      </c>
      <c r="N272">
        <v>23.5</v>
      </c>
      <c r="O272">
        <v>5.6000000000000001E-2</v>
      </c>
      <c r="P272">
        <v>-1.5</v>
      </c>
      <c r="Q272">
        <v>2.6</v>
      </c>
      <c r="R272">
        <v>35.1</v>
      </c>
      <c r="S272">
        <v>19.399999999999999</v>
      </c>
      <c r="T272">
        <v>4.4000000000000004</v>
      </c>
      <c r="U272">
        <v>2.2999999999999998</v>
      </c>
      <c r="V272" t="str">
        <f>IF(DraftData[[#This Row],[Pick]]&lt;=5,"Top 5",
IF(DraftData[[#This Row],[Pick]]&lt;=14,"Lottery",
IF(DraftData[[#This Row],[Pick]]&lt;=20,"Mid First","Late First")))</f>
        <v>Top 5</v>
      </c>
      <c r="W272" t="str">
        <f>IF(DraftData[[#This Row],[Win Shares]]&gt;=80,"Star",
IF(DraftData[[#This Row],[Win Shares]]&gt;=30,"Starter",
IF(DraftData[[#This Row],[Win Shares]]&gt;=10,"Rotation","Minimal")))</f>
        <v>Rotation</v>
      </c>
      <c r="X272" t="str">
        <f>IF(AND(DraftData[[#This Row],[Pick]]&lt;=14,DraftData[[#This Row],[Win Shares]]&lt;10),"Yes","No")</f>
        <v>No</v>
      </c>
      <c r="Y272" s="2">
        <f>DraftData[[#This Row],[Win Shares]]/DraftData[[#This Row],[Pick]]</f>
        <v>23.5</v>
      </c>
      <c r="Z272" s="2">
        <f>DraftData[[#This Row],[Win Shares]]-_xlfn.XLOOKUP(DraftData[[#This Row],[Pick]],'Lookup Tables'!$A$2:$A$31,'Lookup Tables'!$B$2:$B$31)</f>
        <v>-20.083333333333336</v>
      </c>
    </row>
    <row r="273" spans="1:26">
      <c r="A273">
        <v>2014</v>
      </c>
      <c r="B273">
        <v>2</v>
      </c>
      <c r="C273" t="s">
        <v>36</v>
      </c>
      <c r="D273" t="s">
        <v>423</v>
      </c>
      <c r="E273" t="s">
        <v>119</v>
      </c>
      <c r="F273">
        <v>310</v>
      </c>
      <c r="G273">
        <v>8535</v>
      </c>
      <c r="H273">
        <v>4380</v>
      </c>
      <c r="I273">
        <v>1703</v>
      </c>
      <c r="J273">
        <v>610</v>
      </c>
      <c r="K273">
        <v>0.49399999999999999</v>
      </c>
      <c r="L273">
        <v>0.32600000000000001</v>
      </c>
      <c r="M273">
        <v>0.74299999999999999</v>
      </c>
      <c r="N273">
        <v>13.9</v>
      </c>
      <c r="O273">
        <v>7.8E-2</v>
      </c>
      <c r="P273">
        <v>-0.8</v>
      </c>
      <c r="Q273">
        <v>2.5</v>
      </c>
      <c r="R273">
        <v>27.5</v>
      </c>
      <c r="S273">
        <v>14.1</v>
      </c>
      <c r="T273">
        <v>5.5</v>
      </c>
      <c r="U273">
        <v>2</v>
      </c>
      <c r="V273" t="str">
        <f>IF(DraftData[[#This Row],[Pick]]&lt;=5,"Top 5",
IF(DraftData[[#This Row],[Pick]]&lt;=14,"Lottery",
IF(DraftData[[#This Row],[Pick]]&lt;=20,"Mid First","Late First")))</f>
        <v>Top 5</v>
      </c>
      <c r="W273" t="str">
        <f>IF(DraftData[[#This Row],[Win Shares]]&gt;=80,"Star",
IF(DraftData[[#This Row],[Win Shares]]&gt;=30,"Starter",
IF(DraftData[[#This Row],[Win Shares]]&gt;=10,"Rotation","Minimal")))</f>
        <v>Rotation</v>
      </c>
      <c r="X273" t="str">
        <f>IF(AND(DraftData[[#This Row],[Pick]]&lt;=14,DraftData[[#This Row],[Win Shares]]&lt;10),"Yes","No")</f>
        <v>No</v>
      </c>
      <c r="Y273" s="2">
        <f>DraftData[[#This Row],[Win Shares]]/DraftData[[#This Row],[Pick]]</f>
        <v>6.95</v>
      </c>
      <c r="Z273" s="2">
        <f>DraftData[[#This Row],[Win Shares]]-_xlfn.XLOOKUP(DraftData[[#This Row],[Pick]],'Lookup Tables'!$A$2:$A$31,'Lookup Tables'!$B$2:$B$31)</f>
        <v>-25.891666666666666</v>
      </c>
    </row>
    <row r="274" spans="1:26">
      <c r="A274">
        <v>2014</v>
      </c>
      <c r="B274">
        <v>3</v>
      </c>
      <c r="C274" t="s">
        <v>129</v>
      </c>
      <c r="D274" t="s">
        <v>424</v>
      </c>
      <c r="E274" t="s">
        <v>107</v>
      </c>
      <c r="F274">
        <v>306</v>
      </c>
      <c r="G274">
        <v>9458</v>
      </c>
      <c r="H274">
        <v>7817</v>
      </c>
      <c r="I274">
        <v>3450</v>
      </c>
      <c r="J274">
        <v>1003</v>
      </c>
      <c r="K274">
        <v>0.48799999999999999</v>
      </c>
      <c r="L274">
        <v>0.33500000000000002</v>
      </c>
      <c r="M274">
        <v>0.80900000000000005</v>
      </c>
      <c r="N274">
        <v>39.9</v>
      </c>
      <c r="O274">
        <v>0.20200000000000001</v>
      </c>
      <c r="P274">
        <v>5.8</v>
      </c>
      <c r="Q274">
        <v>18.5</v>
      </c>
      <c r="R274">
        <v>30.9</v>
      </c>
      <c r="S274">
        <v>25.5</v>
      </c>
      <c r="T274">
        <v>11.3</v>
      </c>
      <c r="U274">
        <v>3.3</v>
      </c>
      <c r="V274" t="str">
        <f>IF(DraftData[[#This Row],[Pick]]&lt;=5,"Top 5",
IF(DraftData[[#This Row],[Pick]]&lt;=14,"Lottery",
IF(DraftData[[#This Row],[Pick]]&lt;=20,"Mid First","Late First")))</f>
        <v>Top 5</v>
      </c>
      <c r="W274" t="str">
        <f>IF(DraftData[[#This Row],[Win Shares]]&gt;=80,"Star",
IF(DraftData[[#This Row],[Win Shares]]&gt;=30,"Starter",
IF(DraftData[[#This Row],[Win Shares]]&gt;=10,"Rotation","Minimal")))</f>
        <v>Starter</v>
      </c>
      <c r="X274" t="str">
        <f>IF(AND(DraftData[[#This Row],[Pick]]&lt;=14,DraftData[[#This Row],[Win Shares]]&lt;10),"Yes","No")</f>
        <v>No</v>
      </c>
      <c r="Y274" s="2">
        <f>DraftData[[#This Row],[Win Shares]]/DraftData[[#This Row],[Pick]]</f>
        <v>13.299999999999999</v>
      </c>
      <c r="Z274" s="2">
        <f>DraftData[[#This Row],[Win Shares]]-_xlfn.XLOOKUP(DraftData[[#This Row],[Pick]],'Lookup Tables'!$A$2:$A$31,'Lookup Tables'!$B$2:$B$31)</f>
        <v>-10.866666666666674</v>
      </c>
    </row>
    <row r="275" spans="1:26">
      <c r="A275">
        <v>2014</v>
      </c>
      <c r="B275">
        <v>4</v>
      </c>
      <c r="C275" t="s">
        <v>63</v>
      </c>
      <c r="D275" t="s">
        <v>425</v>
      </c>
      <c r="E275" t="s">
        <v>57</v>
      </c>
      <c r="F275">
        <v>506</v>
      </c>
      <c r="G275">
        <v>14584</v>
      </c>
      <c r="H275">
        <v>6530</v>
      </c>
      <c r="I275">
        <v>3178</v>
      </c>
      <c r="J275">
        <v>1264</v>
      </c>
      <c r="K275">
        <v>0.45700000000000002</v>
      </c>
      <c r="L275">
        <v>0.32200000000000001</v>
      </c>
      <c r="M275">
        <v>0.69899999999999995</v>
      </c>
      <c r="N275">
        <v>27.5</v>
      </c>
      <c r="O275">
        <v>0.09</v>
      </c>
      <c r="P275">
        <v>0</v>
      </c>
      <c r="Q275">
        <v>7.2</v>
      </c>
      <c r="R275">
        <v>28.8</v>
      </c>
      <c r="S275">
        <v>12.9</v>
      </c>
      <c r="T275">
        <v>6.3</v>
      </c>
      <c r="U275">
        <v>2.5</v>
      </c>
      <c r="V275" t="str">
        <f>IF(DraftData[[#This Row],[Pick]]&lt;=5,"Top 5",
IF(DraftData[[#This Row],[Pick]]&lt;=14,"Lottery",
IF(DraftData[[#This Row],[Pick]]&lt;=20,"Mid First","Late First")))</f>
        <v>Top 5</v>
      </c>
      <c r="W275" t="str">
        <f>IF(DraftData[[#This Row],[Win Shares]]&gt;=80,"Star",
IF(DraftData[[#This Row],[Win Shares]]&gt;=30,"Starter",
IF(DraftData[[#This Row],[Win Shares]]&gt;=10,"Rotation","Minimal")))</f>
        <v>Rotation</v>
      </c>
      <c r="X275" t="str">
        <f>IF(AND(DraftData[[#This Row],[Pick]]&lt;=14,DraftData[[#This Row],[Win Shares]]&lt;10),"Yes","No")</f>
        <v>No</v>
      </c>
      <c r="Y275" s="2">
        <f>DraftData[[#This Row],[Win Shares]]/DraftData[[#This Row],[Pick]]</f>
        <v>6.875</v>
      </c>
      <c r="Z275" s="2">
        <f>DraftData[[#This Row],[Win Shares]]-_xlfn.XLOOKUP(DraftData[[#This Row],[Pick]],'Lookup Tables'!$A$2:$A$31,'Lookup Tables'!$B$2:$B$31)</f>
        <v>-21.058333333333337</v>
      </c>
    </row>
    <row r="276" spans="1:26">
      <c r="A276">
        <v>2014</v>
      </c>
      <c r="B276">
        <v>5</v>
      </c>
      <c r="C276" t="s">
        <v>42</v>
      </c>
      <c r="D276" t="s">
        <v>426</v>
      </c>
      <c r="F276">
        <v>245</v>
      </c>
      <c r="G276">
        <v>4545</v>
      </c>
      <c r="H276">
        <v>1389</v>
      </c>
      <c r="I276">
        <v>441</v>
      </c>
      <c r="J276">
        <v>515</v>
      </c>
      <c r="K276">
        <v>0.40699999999999997</v>
      </c>
      <c r="L276">
        <v>0.30499999999999999</v>
      </c>
      <c r="M276">
        <v>0.76400000000000001</v>
      </c>
      <c r="N276">
        <v>3.1</v>
      </c>
      <c r="O276">
        <v>3.2000000000000001E-2</v>
      </c>
      <c r="P276">
        <v>-3.3</v>
      </c>
      <c r="Q276">
        <v>-1.5</v>
      </c>
      <c r="R276">
        <v>18.600000000000001</v>
      </c>
      <c r="S276">
        <v>5.7</v>
      </c>
      <c r="T276">
        <v>1.8</v>
      </c>
      <c r="U276">
        <v>2.1</v>
      </c>
      <c r="V276" t="str">
        <f>IF(DraftData[[#This Row],[Pick]]&lt;=5,"Top 5",
IF(DraftData[[#This Row],[Pick]]&lt;=14,"Lottery",
IF(DraftData[[#This Row],[Pick]]&lt;=20,"Mid First","Late First")))</f>
        <v>Top 5</v>
      </c>
      <c r="W276" t="str">
        <f>IF(DraftData[[#This Row],[Win Shares]]&gt;=80,"Star",
IF(DraftData[[#This Row],[Win Shares]]&gt;=30,"Starter",
IF(DraftData[[#This Row],[Win Shares]]&gt;=10,"Rotation","Minimal")))</f>
        <v>Minimal</v>
      </c>
      <c r="X276" t="str">
        <f>IF(AND(DraftData[[#This Row],[Pick]]&lt;=14,DraftData[[#This Row],[Win Shares]]&lt;10),"Yes","No")</f>
        <v>Yes</v>
      </c>
      <c r="Y276" s="2">
        <f>DraftData[[#This Row],[Win Shares]]/DraftData[[#This Row],[Pick]]</f>
        <v>0.62</v>
      </c>
      <c r="Z276" s="2">
        <f>DraftData[[#This Row],[Win Shares]]-_xlfn.XLOOKUP(DraftData[[#This Row],[Pick]],'Lookup Tables'!$A$2:$A$31,'Lookup Tables'!$B$2:$B$31)</f>
        <v>-28.258333333333336</v>
      </c>
    </row>
    <row r="277" spans="1:26">
      <c r="A277">
        <v>2014</v>
      </c>
      <c r="B277">
        <v>6</v>
      </c>
      <c r="C277" t="s">
        <v>78</v>
      </c>
      <c r="D277" t="s">
        <v>427</v>
      </c>
      <c r="E277" t="s">
        <v>74</v>
      </c>
      <c r="F277">
        <v>499</v>
      </c>
      <c r="G277">
        <v>14825</v>
      </c>
      <c r="H277">
        <v>5161</v>
      </c>
      <c r="I277">
        <v>1794</v>
      </c>
      <c r="J277">
        <v>2168</v>
      </c>
      <c r="K277">
        <v>0.38</v>
      </c>
      <c r="L277">
        <v>0.31900000000000001</v>
      </c>
      <c r="M277">
        <v>0.77800000000000002</v>
      </c>
      <c r="N277">
        <v>28</v>
      </c>
      <c r="O277">
        <v>9.0999999999999998E-2</v>
      </c>
      <c r="P277">
        <v>-0.2</v>
      </c>
      <c r="Q277">
        <v>6.6</v>
      </c>
      <c r="R277">
        <v>29.7</v>
      </c>
      <c r="S277">
        <v>10.3</v>
      </c>
      <c r="T277">
        <v>3.6</v>
      </c>
      <c r="U277">
        <v>4.3</v>
      </c>
      <c r="V277" t="str">
        <f>IF(DraftData[[#This Row],[Pick]]&lt;=5,"Top 5",
IF(DraftData[[#This Row],[Pick]]&lt;=14,"Lottery",
IF(DraftData[[#This Row],[Pick]]&lt;=20,"Mid First","Late First")))</f>
        <v>Lottery</v>
      </c>
      <c r="W277" t="str">
        <f>IF(DraftData[[#This Row],[Win Shares]]&gt;=80,"Star",
IF(DraftData[[#This Row],[Win Shares]]&gt;=30,"Starter",
IF(DraftData[[#This Row],[Win Shares]]&gt;=10,"Rotation","Minimal")))</f>
        <v>Rotation</v>
      </c>
      <c r="X277" t="str">
        <f>IF(AND(DraftData[[#This Row],[Pick]]&lt;=14,DraftData[[#This Row],[Win Shares]]&lt;10),"Yes","No")</f>
        <v>No</v>
      </c>
      <c r="Y277" s="2">
        <f>DraftData[[#This Row],[Win Shares]]/DraftData[[#This Row],[Pick]]</f>
        <v>4.666666666666667</v>
      </c>
      <c r="Z277" s="2">
        <f>DraftData[[#This Row],[Win Shares]]-_xlfn.XLOOKUP(DraftData[[#This Row],[Pick]],'Lookup Tables'!$A$2:$A$31,'Lookup Tables'!$B$2:$B$31)</f>
        <v>0.34166666666666501</v>
      </c>
    </row>
    <row r="278" spans="1:26">
      <c r="A278">
        <v>2014</v>
      </c>
      <c r="B278">
        <v>7</v>
      </c>
      <c r="C278" t="s">
        <v>61</v>
      </c>
      <c r="D278" t="s">
        <v>428</v>
      </c>
      <c r="E278" t="s">
        <v>144</v>
      </c>
      <c r="F278">
        <v>503</v>
      </c>
      <c r="G278">
        <v>15635</v>
      </c>
      <c r="H278">
        <v>8874</v>
      </c>
      <c r="I278">
        <v>4680</v>
      </c>
      <c r="J278">
        <v>1769</v>
      </c>
      <c r="K278">
        <v>0.47599999999999998</v>
      </c>
      <c r="L278">
        <v>0.33300000000000002</v>
      </c>
      <c r="M278">
        <v>0.74299999999999999</v>
      </c>
      <c r="N278">
        <v>31.1</v>
      </c>
      <c r="O278">
        <v>9.5000000000000001E-2</v>
      </c>
      <c r="P278">
        <v>0.4</v>
      </c>
      <c r="Q278">
        <v>9.4</v>
      </c>
      <c r="R278">
        <v>31.1</v>
      </c>
      <c r="S278">
        <v>17.600000000000001</v>
      </c>
      <c r="T278">
        <v>9.3000000000000007</v>
      </c>
      <c r="U278">
        <v>3.5</v>
      </c>
      <c r="V278" t="str">
        <f>IF(DraftData[[#This Row],[Pick]]&lt;=5,"Top 5",
IF(DraftData[[#This Row],[Pick]]&lt;=14,"Lottery",
IF(DraftData[[#This Row],[Pick]]&lt;=20,"Mid First","Late First")))</f>
        <v>Lottery</v>
      </c>
      <c r="W278" t="str">
        <f>IF(DraftData[[#This Row],[Win Shares]]&gt;=80,"Star",
IF(DraftData[[#This Row],[Win Shares]]&gt;=30,"Starter",
IF(DraftData[[#This Row],[Win Shares]]&gt;=10,"Rotation","Minimal")))</f>
        <v>Starter</v>
      </c>
      <c r="X278" t="str">
        <f>IF(AND(DraftData[[#This Row],[Pick]]&lt;=14,DraftData[[#This Row],[Win Shares]]&lt;10),"Yes","No")</f>
        <v>No</v>
      </c>
      <c r="Y278" s="2">
        <f>DraftData[[#This Row],[Win Shares]]/DraftData[[#This Row],[Pick]]</f>
        <v>4.4428571428571431</v>
      </c>
      <c r="Z278" s="2">
        <f>DraftData[[#This Row],[Win Shares]]-_xlfn.XLOOKUP(DraftData[[#This Row],[Pick]],'Lookup Tables'!$A$2:$A$31,'Lookup Tables'!$B$2:$B$31)</f>
        <v>-2.8750000000000071</v>
      </c>
    </row>
    <row r="279" spans="1:26">
      <c r="A279">
        <v>2014</v>
      </c>
      <c r="B279">
        <v>8</v>
      </c>
      <c r="C279" t="s">
        <v>91</v>
      </c>
      <c r="D279" t="s">
        <v>429</v>
      </c>
      <c r="E279" t="s">
        <v>397</v>
      </c>
      <c r="F279">
        <v>337</v>
      </c>
      <c r="G279">
        <v>6686</v>
      </c>
      <c r="H279">
        <v>2283</v>
      </c>
      <c r="I279">
        <v>691</v>
      </c>
      <c r="J279">
        <v>514</v>
      </c>
      <c r="K279">
        <v>0.38900000000000001</v>
      </c>
      <c r="L279">
        <v>0.35399999999999998</v>
      </c>
      <c r="M279">
        <v>0.81399999999999995</v>
      </c>
      <c r="N279">
        <v>3.9</v>
      </c>
      <c r="O279">
        <v>2.8000000000000001E-2</v>
      </c>
      <c r="P279">
        <v>-3</v>
      </c>
      <c r="Q279">
        <v>-1.7</v>
      </c>
      <c r="R279">
        <v>19.8</v>
      </c>
      <c r="S279">
        <v>6.8</v>
      </c>
      <c r="T279">
        <v>2.1</v>
      </c>
      <c r="U279">
        <v>1.5</v>
      </c>
      <c r="V279" t="str">
        <f>IF(DraftData[[#This Row],[Pick]]&lt;=5,"Top 5",
IF(DraftData[[#This Row],[Pick]]&lt;=14,"Lottery",
IF(DraftData[[#This Row],[Pick]]&lt;=20,"Mid First","Late First")))</f>
        <v>Lottery</v>
      </c>
      <c r="W279" t="str">
        <f>IF(DraftData[[#This Row],[Win Shares]]&gt;=80,"Star",
IF(DraftData[[#This Row],[Win Shares]]&gt;=30,"Starter",
IF(DraftData[[#This Row],[Win Shares]]&gt;=10,"Rotation","Minimal")))</f>
        <v>Minimal</v>
      </c>
      <c r="X279" t="str">
        <f>IF(AND(DraftData[[#This Row],[Pick]]&lt;=14,DraftData[[#This Row],[Win Shares]]&lt;10),"Yes","No")</f>
        <v>Yes</v>
      </c>
      <c r="Y279" s="2">
        <f>DraftData[[#This Row],[Win Shares]]/DraftData[[#This Row],[Pick]]</f>
        <v>0.48749999999999999</v>
      </c>
      <c r="Z279" s="2">
        <f>DraftData[[#This Row],[Win Shares]]-_xlfn.XLOOKUP(DraftData[[#This Row],[Pick]],'Lookup Tables'!$A$2:$A$31,'Lookup Tables'!$B$2:$B$31)</f>
        <v>-17.258333333333333</v>
      </c>
    </row>
    <row r="280" spans="1:26">
      <c r="A280">
        <v>2014</v>
      </c>
      <c r="B280">
        <v>9</v>
      </c>
      <c r="C280" t="s">
        <v>48</v>
      </c>
      <c r="D280" t="s">
        <v>430</v>
      </c>
      <c r="E280" t="s">
        <v>208</v>
      </c>
      <c r="F280">
        <v>339</v>
      </c>
      <c r="G280">
        <v>5683</v>
      </c>
      <c r="H280">
        <v>1660</v>
      </c>
      <c r="I280">
        <v>1742</v>
      </c>
      <c r="J280">
        <v>257</v>
      </c>
      <c r="K280">
        <v>0.45900000000000002</v>
      </c>
      <c r="L280">
        <v>0.308</v>
      </c>
      <c r="M280">
        <v>0.69099999999999995</v>
      </c>
      <c r="N280">
        <v>9.1999999999999993</v>
      </c>
      <c r="O280">
        <v>7.8E-2</v>
      </c>
      <c r="P280">
        <v>-2.4</v>
      </c>
      <c r="Q280">
        <v>-0.6</v>
      </c>
      <c r="R280">
        <v>16.8</v>
      </c>
      <c r="S280">
        <v>4.9000000000000004</v>
      </c>
      <c r="T280">
        <v>5.0999999999999996</v>
      </c>
      <c r="U280">
        <v>0.8</v>
      </c>
      <c r="V280" t="str">
        <f>IF(DraftData[[#This Row],[Pick]]&lt;=5,"Top 5",
IF(DraftData[[#This Row],[Pick]]&lt;=14,"Lottery",
IF(DraftData[[#This Row],[Pick]]&lt;=20,"Mid First","Late First")))</f>
        <v>Lottery</v>
      </c>
      <c r="W280" t="str">
        <f>IF(DraftData[[#This Row],[Win Shares]]&gt;=80,"Star",
IF(DraftData[[#This Row],[Win Shares]]&gt;=30,"Starter",
IF(DraftData[[#This Row],[Win Shares]]&gt;=10,"Rotation","Minimal")))</f>
        <v>Minimal</v>
      </c>
      <c r="X280" t="str">
        <f>IF(AND(DraftData[[#This Row],[Pick]]&lt;=14,DraftData[[#This Row],[Win Shares]]&lt;10),"Yes","No")</f>
        <v>Yes</v>
      </c>
      <c r="Y280" s="2">
        <f>DraftData[[#This Row],[Win Shares]]/DraftData[[#This Row],[Pick]]</f>
        <v>1.0222222222222221</v>
      </c>
      <c r="Z280" s="2">
        <f>DraftData[[#This Row],[Win Shares]]-_xlfn.XLOOKUP(DraftData[[#This Row],[Pick]],'Lookup Tables'!$A$2:$A$31,'Lookup Tables'!$B$2:$B$31)</f>
        <v>-28.191666666666666</v>
      </c>
    </row>
    <row r="281" spans="1:26">
      <c r="A281">
        <v>2014</v>
      </c>
      <c r="B281">
        <v>10</v>
      </c>
      <c r="C281" t="s">
        <v>129</v>
      </c>
      <c r="D281" t="s">
        <v>431</v>
      </c>
      <c r="E281" t="s">
        <v>432</v>
      </c>
      <c r="F281">
        <v>488</v>
      </c>
      <c r="G281">
        <v>13278</v>
      </c>
      <c r="H281">
        <v>5013</v>
      </c>
      <c r="I281">
        <v>1995</v>
      </c>
      <c r="J281">
        <v>2851</v>
      </c>
      <c r="K281">
        <v>0.44800000000000001</v>
      </c>
      <c r="L281">
        <v>0.28899999999999998</v>
      </c>
      <c r="M281">
        <v>0.624</v>
      </c>
      <c r="N281">
        <v>16</v>
      </c>
      <c r="O281">
        <v>5.8000000000000003E-2</v>
      </c>
      <c r="P281">
        <v>-0.9</v>
      </c>
      <c r="Q281">
        <v>3.8</v>
      </c>
      <c r="R281">
        <v>27.2</v>
      </c>
      <c r="S281">
        <v>10.3</v>
      </c>
      <c r="T281">
        <v>4.0999999999999996</v>
      </c>
      <c r="U281">
        <v>5.8</v>
      </c>
      <c r="V281" t="str">
        <f>IF(DraftData[[#This Row],[Pick]]&lt;=5,"Top 5",
IF(DraftData[[#This Row],[Pick]]&lt;=14,"Lottery",
IF(DraftData[[#This Row],[Pick]]&lt;=20,"Mid First","Late First")))</f>
        <v>Lottery</v>
      </c>
      <c r="W281" t="str">
        <f>IF(DraftData[[#This Row],[Win Shares]]&gt;=80,"Star",
IF(DraftData[[#This Row],[Win Shares]]&gt;=30,"Starter",
IF(DraftData[[#This Row],[Win Shares]]&gt;=10,"Rotation","Minimal")))</f>
        <v>Rotation</v>
      </c>
      <c r="X281" t="str">
        <f>IF(AND(DraftData[[#This Row],[Pick]]&lt;=14,DraftData[[#This Row],[Win Shares]]&lt;10),"Yes","No")</f>
        <v>No</v>
      </c>
      <c r="Y281" s="2">
        <f>DraftData[[#This Row],[Win Shares]]/DraftData[[#This Row],[Pick]]</f>
        <v>1.6</v>
      </c>
      <c r="Z281" s="2">
        <f>DraftData[[#This Row],[Win Shares]]-_xlfn.XLOOKUP(DraftData[[#This Row],[Pick]],'Lookup Tables'!$A$2:$A$31,'Lookup Tables'!$B$2:$B$31)</f>
        <v>-10.849999999999998</v>
      </c>
    </row>
    <row r="282" spans="1:26">
      <c r="A282">
        <v>2014</v>
      </c>
      <c r="B282">
        <v>11</v>
      </c>
      <c r="C282" t="s">
        <v>83</v>
      </c>
      <c r="D282" t="s">
        <v>433</v>
      </c>
      <c r="E282" t="s">
        <v>434</v>
      </c>
      <c r="F282">
        <v>519</v>
      </c>
      <c r="G282">
        <v>10842</v>
      </c>
      <c r="H282">
        <v>4781</v>
      </c>
      <c r="I282">
        <v>1229</v>
      </c>
      <c r="J282">
        <v>482</v>
      </c>
      <c r="K282">
        <v>0.47699999999999998</v>
      </c>
      <c r="L282">
        <v>0.41199999999999998</v>
      </c>
      <c r="M282">
        <v>0.81899999999999995</v>
      </c>
      <c r="N282">
        <v>19.3</v>
      </c>
      <c r="O282">
        <v>8.5000000000000006E-2</v>
      </c>
      <c r="P282">
        <v>-1.8</v>
      </c>
      <c r="Q282">
        <v>0.5</v>
      </c>
      <c r="R282">
        <v>20.9</v>
      </c>
      <c r="S282">
        <v>9.1999999999999993</v>
      </c>
      <c r="T282">
        <v>2.4</v>
      </c>
      <c r="U282">
        <v>0.9</v>
      </c>
      <c r="V282" t="str">
        <f>IF(DraftData[[#This Row],[Pick]]&lt;=5,"Top 5",
IF(DraftData[[#This Row],[Pick]]&lt;=14,"Lottery",
IF(DraftData[[#This Row],[Pick]]&lt;=20,"Mid First","Late First")))</f>
        <v>Lottery</v>
      </c>
      <c r="W282" t="str">
        <f>IF(DraftData[[#This Row],[Win Shares]]&gt;=80,"Star",
IF(DraftData[[#This Row],[Win Shares]]&gt;=30,"Starter",
IF(DraftData[[#This Row],[Win Shares]]&gt;=10,"Rotation","Minimal")))</f>
        <v>Rotation</v>
      </c>
      <c r="X282" t="str">
        <f>IF(AND(DraftData[[#This Row],[Pick]]&lt;=14,DraftData[[#This Row],[Win Shares]]&lt;10),"Yes","No")</f>
        <v>No</v>
      </c>
      <c r="Y282" s="2">
        <f>DraftData[[#This Row],[Win Shares]]/DraftData[[#This Row],[Pick]]</f>
        <v>1.7545454545454546</v>
      </c>
      <c r="Z282" s="2">
        <f>DraftData[[#This Row],[Win Shares]]-_xlfn.XLOOKUP(DraftData[[#This Row],[Pick]],'Lookup Tables'!$A$2:$A$31,'Lookup Tables'!$B$2:$B$31)</f>
        <v>-3.3999999999999986</v>
      </c>
    </row>
    <row r="283" spans="1:26">
      <c r="A283">
        <v>2014</v>
      </c>
      <c r="B283">
        <v>12</v>
      </c>
      <c r="C283" t="s">
        <v>63</v>
      </c>
      <c r="D283" t="s">
        <v>435</v>
      </c>
      <c r="F283">
        <v>356</v>
      </c>
      <c r="G283">
        <v>8965</v>
      </c>
      <c r="H283">
        <v>4180</v>
      </c>
      <c r="I283">
        <v>2086</v>
      </c>
      <c r="J283">
        <v>699</v>
      </c>
      <c r="K283">
        <v>0.441</v>
      </c>
      <c r="L283">
        <v>0.35699999999999998</v>
      </c>
      <c r="M283">
        <v>0.83799999999999997</v>
      </c>
      <c r="N283">
        <v>16.399999999999999</v>
      </c>
      <c r="O283">
        <v>8.7999999999999995E-2</v>
      </c>
      <c r="P283">
        <v>-0.8</v>
      </c>
      <c r="Q283">
        <v>2.6</v>
      </c>
      <c r="R283">
        <v>25.2</v>
      </c>
      <c r="S283">
        <v>11.7</v>
      </c>
      <c r="T283">
        <v>5.9</v>
      </c>
      <c r="U283">
        <v>2</v>
      </c>
      <c r="V283" t="str">
        <f>IF(DraftData[[#This Row],[Pick]]&lt;=5,"Top 5",
IF(DraftData[[#This Row],[Pick]]&lt;=14,"Lottery",
IF(DraftData[[#This Row],[Pick]]&lt;=20,"Mid First","Late First")))</f>
        <v>Lottery</v>
      </c>
      <c r="W283" t="str">
        <f>IF(DraftData[[#This Row],[Win Shares]]&gt;=80,"Star",
IF(DraftData[[#This Row],[Win Shares]]&gt;=30,"Starter",
IF(DraftData[[#This Row],[Win Shares]]&gt;=10,"Rotation","Minimal")))</f>
        <v>Rotation</v>
      </c>
      <c r="X283" t="str">
        <f>IF(AND(DraftData[[#This Row],[Pick]]&lt;=14,DraftData[[#This Row],[Win Shares]]&lt;10),"Yes","No")</f>
        <v>No</v>
      </c>
      <c r="Y283" s="2">
        <f>DraftData[[#This Row],[Win Shares]]/DraftData[[#This Row],[Pick]]</f>
        <v>1.3666666666666665</v>
      </c>
      <c r="Z283" s="2">
        <f>DraftData[[#This Row],[Win Shares]]-_xlfn.XLOOKUP(DraftData[[#This Row],[Pick]],'Lookup Tables'!$A$2:$A$31,'Lookup Tables'!$B$2:$B$31)</f>
        <v>-4.9166666666666679</v>
      </c>
    </row>
    <row r="284" spans="1:26">
      <c r="A284">
        <v>2014</v>
      </c>
      <c r="B284">
        <v>13</v>
      </c>
      <c r="C284" t="s">
        <v>68</v>
      </c>
      <c r="D284" t="s">
        <v>436</v>
      </c>
      <c r="E284" t="s">
        <v>152</v>
      </c>
      <c r="F284">
        <v>458</v>
      </c>
      <c r="G284">
        <v>14515</v>
      </c>
      <c r="H284">
        <v>8987</v>
      </c>
      <c r="I284">
        <v>1796</v>
      </c>
      <c r="J284">
        <v>1767</v>
      </c>
      <c r="K284">
        <v>0.46100000000000002</v>
      </c>
      <c r="L284">
        <v>0.38700000000000001</v>
      </c>
      <c r="M284">
        <v>0.83</v>
      </c>
      <c r="N284">
        <v>22.1</v>
      </c>
      <c r="O284">
        <v>7.2999999999999995E-2</v>
      </c>
      <c r="P284">
        <v>0.4</v>
      </c>
      <c r="Q284">
        <v>8.6999999999999993</v>
      </c>
      <c r="R284">
        <v>31.7</v>
      </c>
      <c r="S284">
        <v>19.600000000000001</v>
      </c>
      <c r="T284">
        <v>3.9</v>
      </c>
      <c r="U284">
        <v>3.9</v>
      </c>
      <c r="V284" t="str">
        <f>IF(DraftData[[#This Row],[Pick]]&lt;=5,"Top 5",
IF(DraftData[[#This Row],[Pick]]&lt;=14,"Lottery",
IF(DraftData[[#This Row],[Pick]]&lt;=20,"Mid First","Late First")))</f>
        <v>Lottery</v>
      </c>
      <c r="W284" t="str">
        <f>IF(DraftData[[#This Row],[Win Shares]]&gt;=80,"Star",
IF(DraftData[[#This Row],[Win Shares]]&gt;=30,"Starter",
IF(DraftData[[#This Row],[Win Shares]]&gt;=10,"Rotation","Minimal")))</f>
        <v>Rotation</v>
      </c>
      <c r="X284" t="str">
        <f>IF(AND(DraftData[[#This Row],[Pick]]&lt;=14,DraftData[[#This Row],[Win Shares]]&lt;10),"Yes","No")</f>
        <v>No</v>
      </c>
      <c r="Y284" s="2">
        <f>DraftData[[#This Row],[Win Shares]]/DraftData[[#This Row],[Pick]]</f>
        <v>1.7000000000000002</v>
      </c>
      <c r="Z284" s="2">
        <f>DraftData[[#This Row],[Win Shares]]-_xlfn.XLOOKUP(DraftData[[#This Row],[Pick]],'Lookup Tables'!$A$2:$A$31,'Lookup Tables'!$B$2:$B$31)</f>
        <v>2.7666666666666693</v>
      </c>
    </row>
    <row r="285" spans="1:26">
      <c r="A285">
        <v>2014</v>
      </c>
      <c r="B285">
        <v>14</v>
      </c>
      <c r="C285" t="s">
        <v>86</v>
      </c>
      <c r="D285" t="s">
        <v>437</v>
      </c>
      <c r="E285" t="s">
        <v>85</v>
      </c>
      <c r="F285">
        <v>332</v>
      </c>
      <c r="G285">
        <v>9553</v>
      </c>
      <c r="H285">
        <v>5142</v>
      </c>
      <c r="I285">
        <v>1372</v>
      </c>
      <c r="J285">
        <v>397</v>
      </c>
      <c r="K285">
        <v>0.50700000000000001</v>
      </c>
      <c r="L285">
        <v>0.35699999999999998</v>
      </c>
      <c r="M285">
        <v>0.78</v>
      </c>
      <c r="N285">
        <v>19.600000000000001</v>
      </c>
      <c r="O285">
        <v>9.9000000000000005E-2</v>
      </c>
      <c r="P285">
        <v>-0.2</v>
      </c>
      <c r="Q285">
        <v>4.2</v>
      </c>
      <c r="R285">
        <v>28.8</v>
      </c>
      <c r="S285">
        <v>15.5</v>
      </c>
      <c r="T285">
        <v>4.0999999999999996</v>
      </c>
      <c r="U285">
        <v>1.2</v>
      </c>
      <c r="V285" t="str">
        <f>IF(DraftData[[#This Row],[Pick]]&lt;=5,"Top 5",
IF(DraftData[[#This Row],[Pick]]&lt;=14,"Lottery",
IF(DraftData[[#This Row],[Pick]]&lt;=20,"Mid First","Late First")))</f>
        <v>Lottery</v>
      </c>
      <c r="W285" t="str">
        <f>IF(DraftData[[#This Row],[Win Shares]]&gt;=80,"Star",
IF(DraftData[[#This Row],[Win Shares]]&gt;=30,"Starter",
IF(DraftData[[#This Row],[Win Shares]]&gt;=10,"Rotation","Minimal")))</f>
        <v>Rotation</v>
      </c>
      <c r="X285" t="str">
        <f>IF(AND(DraftData[[#This Row],[Pick]]&lt;=14,DraftData[[#This Row],[Win Shares]]&lt;10),"Yes","No")</f>
        <v>No</v>
      </c>
      <c r="Y285" s="2">
        <f>DraftData[[#This Row],[Win Shares]]/DraftData[[#This Row],[Pick]]</f>
        <v>1.4000000000000001</v>
      </c>
      <c r="Z285" s="2">
        <f>DraftData[[#This Row],[Win Shares]]-_xlfn.XLOOKUP(DraftData[[#This Row],[Pick]],'Lookup Tables'!$A$2:$A$31,'Lookup Tables'!$B$2:$B$31)</f>
        <v>4.8500000000000032</v>
      </c>
    </row>
    <row r="286" spans="1:26">
      <c r="A286">
        <v>2014</v>
      </c>
      <c r="B286">
        <v>15</v>
      </c>
      <c r="C286" t="s">
        <v>39</v>
      </c>
      <c r="D286" t="s">
        <v>438</v>
      </c>
      <c r="E286" t="s">
        <v>150</v>
      </c>
      <c r="F286">
        <v>107</v>
      </c>
      <c r="G286">
        <v>1403</v>
      </c>
      <c r="H286">
        <v>429</v>
      </c>
      <c r="I286">
        <v>315</v>
      </c>
      <c r="J286">
        <v>66</v>
      </c>
      <c r="K286">
        <v>0.40600000000000003</v>
      </c>
      <c r="L286">
        <v>0.254</v>
      </c>
      <c r="M286">
        <v>0.68</v>
      </c>
      <c r="N286">
        <v>-0.6</v>
      </c>
      <c r="O286">
        <v>-1.9E-2</v>
      </c>
      <c r="P286">
        <v>-5.9</v>
      </c>
      <c r="Q286">
        <v>-1.4</v>
      </c>
      <c r="R286">
        <v>13.1</v>
      </c>
      <c r="S286">
        <v>4</v>
      </c>
      <c r="T286">
        <v>2.9</v>
      </c>
      <c r="U286">
        <v>0.6</v>
      </c>
      <c r="V286" t="str">
        <f>IF(DraftData[[#This Row],[Pick]]&lt;=5,"Top 5",
IF(DraftData[[#This Row],[Pick]]&lt;=14,"Lottery",
IF(DraftData[[#This Row],[Pick]]&lt;=20,"Mid First","Late First")))</f>
        <v>Mid First</v>
      </c>
      <c r="W286" t="str">
        <f>IF(DraftData[[#This Row],[Win Shares]]&gt;=80,"Star",
IF(DraftData[[#This Row],[Win Shares]]&gt;=30,"Starter",
IF(DraftData[[#This Row],[Win Shares]]&gt;=10,"Rotation","Minimal")))</f>
        <v>Minimal</v>
      </c>
      <c r="X286" t="str">
        <f>IF(AND(DraftData[[#This Row],[Pick]]&lt;=14,DraftData[[#This Row],[Win Shares]]&lt;10),"Yes","No")</f>
        <v>No</v>
      </c>
      <c r="Y286" s="2">
        <f>DraftData[[#This Row],[Win Shares]]/DraftData[[#This Row],[Pick]]</f>
        <v>-0.04</v>
      </c>
      <c r="Z286" s="2">
        <f>DraftData[[#This Row],[Win Shares]]-_xlfn.XLOOKUP(DraftData[[#This Row],[Pick]],'Lookup Tables'!$A$2:$A$31,'Lookup Tables'!$B$2:$B$31)</f>
        <v>-26.383333333333333</v>
      </c>
    </row>
    <row r="287" spans="1:26">
      <c r="A287">
        <v>2014</v>
      </c>
      <c r="B287">
        <v>16</v>
      </c>
      <c r="C287" t="s">
        <v>111</v>
      </c>
      <c r="D287" t="s">
        <v>439</v>
      </c>
      <c r="F287">
        <v>411</v>
      </c>
      <c r="G287">
        <v>9815</v>
      </c>
      <c r="H287">
        <v>5015</v>
      </c>
      <c r="I287">
        <v>3513</v>
      </c>
      <c r="J287">
        <v>903</v>
      </c>
      <c r="K287">
        <v>0.5</v>
      </c>
      <c r="L287">
        <v>0.23200000000000001</v>
      </c>
      <c r="M287">
        <v>0.67200000000000004</v>
      </c>
      <c r="N287">
        <v>24</v>
      </c>
      <c r="O287">
        <v>0.11799999999999999</v>
      </c>
      <c r="P287">
        <v>0.5</v>
      </c>
      <c r="Q287">
        <v>6.2</v>
      </c>
      <c r="R287">
        <v>23.9</v>
      </c>
      <c r="S287">
        <v>12.2</v>
      </c>
      <c r="T287">
        <v>8.5</v>
      </c>
      <c r="U287">
        <v>2.2000000000000002</v>
      </c>
      <c r="V287" t="str">
        <f>IF(DraftData[[#This Row],[Pick]]&lt;=5,"Top 5",
IF(DraftData[[#This Row],[Pick]]&lt;=14,"Lottery",
IF(DraftData[[#This Row],[Pick]]&lt;=20,"Mid First","Late First")))</f>
        <v>Mid First</v>
      </c>
      <c r="W287" t="str">
        <f>IF(DraftData[[#This Row],[Win Shares]]&gt;=80,"Star",
IF(DraftData[[#This Row],[Win Shares]]&gt;=30,"Starter",
IF(DraftData[[#This Row],[Win Shares]]&gt;=10,"Rotation","Minimal")))</f>
        <v>Rotation</v>
      </c>
      <c r="X287" t="str">
        <f>IF(AND(DraftData[[#This Row],[Pick]]&lt;=14,DraftData[[#This Row],[Win Shares]]&lt;10),"Yes","No")</f>
        <v>No</v>
      </c>
      <c r="Y287" s="2">
        <f>DraftData[[#This Row],[Win Shares]]/DraftData[[#This Row],[Pick]]</f>
        <v>1.5</v>
      </c>
      <c r="Z287" s="2">
        <f>DraftData[[#This Row],[Win Shares]]-_xlfn.XLOOKUP(DraftData[[#This Row],[Pick]],'Lookup Tables'!$A$2:$A$31,'Lookup Tables'!$B$2:$B$31)</f>
        <v>7.0166666666666657</v>
      </c>
    </row>
    <row r="288" spans="1:26">
      <c r="A288">
        <v>2014</v>
      </c>
      <c r="B288">
        <v>17</v>
      </c>
      <c r="C288" t="s">
        <v>78</v>
      </c>
      <c r="D288" t="s">
        <v>440</v>
      </c>
      <c r="E288" t="s">
        <v>144</v>
      </c>
      <c r="F288">
        <v>95</v>
      </c>
      <c r="G288">
        <v>812</v>
      </c>
      <c r="H288">
        <v>219</v>
      </c>
      <c r="I288">
        <v>96</v>
      </c>
      <c r="J288">
        <v>28</v>
      </c>
      <c r="K288">
        <v>0.36699999999999999</v>
      </c>
      <c r="L288">
        <v>0.27700000000000002</v>
      </c>
      <c r="M288">
        <v>0.56299999999999994</v>
      </c>
      <c r="N288">
        <v>0.8</v>
      </c>
      <c r="O288">
        <v>4.5999999999999999E-2</v>
      </c>
      <c r="P288">
        <v>-3.4</v>
      </c>
      <c r="Q288">
        <v>-0.3</v>
      </c>
      <c r="R288">
        <v>8.5</v>
      </c>
      <c r="S288">
        <v>2.2999999999999998</v>
      </c>
      <c r="T288">
        <v>1</v>
      </c>
      <c r="U288">
        <v>0.3</v>
      </c>
      <c r="V288" t="str">
        <f>IF(DraftData[[#This Row],[Pick]]&lt;=5,"Top 5",
IF(DraftData[[#This Row],[Pick]]&lt;=14,"Lottery",
IF(DraftData[[#This Row],[Pick]]&lt;=20,"Mid First","Late First")))</f>
        <v>Mid First</v>
      </c>
      <c r="W288" t="str">
        <f>IF(DraftData[[#This Row],[Win Shares]]&gt;=80,"Star",
IF(DraftData[[#This Row],[Win Shares]]&gt;=30,"Starter",
IF(DraftData[[#This Row],[Win Shares]]&gt;=10,"Rotation","Minimal")))</f>
        <v>Minimal</v>
      </c>
      <c r="X288" t="str">
        <f>IF(AND(DraftData[[#This Row],[Pick]]&lt;=14,DraftData[[#This Row],[Win Shares]]&lt;10),"Yes","No")</f>
        <v>No</v>
      </c>
      <c r="Y288" s="2">
        <f>DraftData[[#This Row],[Win Shares]]/DraftData[[#This Row],[Pick]]</f>
        <v>4.7058823529411764E-2</v>
      </c>
      <c r="Z288" s="2">
        <f>DraftData[[#This Row],[Win Shares]]-_xlfn.XLOOKUP(DraftData[[#This Row],[Pick]],'Lookup Tables'!$A$2:$A$31,'Lookup Tables'!$B$2:$B$31)</f>
        <v>-16.516666666666666</v>
      </c>
    </row>
    <row r="289" spans="1:26">
      <c r="A289">
        <v>2014</v>
      </c>
      <c r="B289">
        <v>18</v>
      </c>
      <c r="C289" t="s">
        <v>86</v>
      </c>
      <c r="D289" t="s">
        <v>441</v>
      </c>
      <c r="E289" t="s">
        <v>82</v>
      </c>
      <c r="F289">
        <v>186</v>
      </c>
      <c r="G289">
        <v>2336</v>
      </c>
      <c r="H289">
        <v>779</v>
      </c>
      <c r="I289">
        <v>250</v>
      </c>
      <c r="J289">
        <v>359</v>
      </c>
      <c r="K289">
        <v>0.41899999999999998</v>
      </c>
      <c r="L289">
        <v>0.317</v>
      </c>
      <c r="M289">
        <v>0.76800000000000002</v>
      </c>
      <c r="N289">
        <v>1.3</v>
      </c>
      <c r="O289">
        <v>2.5999999999999999E-2</v>
      </c>
      <c r="P289">
        <v>-3.4</v>
      </c>
      <c r="Q289">
        <v>-0.8</v>
      </c>
      <c r="R289">
        <v>12.6</v>
      </c>
      <c r="S289">
        <v>4.2</v>
      </c>
      <c r="T289">
        <v>1.3</v>
      </c>
      <c r="U289">
        <v>1.9</v>
      </c>
      <c r="V289" t="str">
        <f>IF(DraftData[[#This Row],[Pick]]&lt;=5,"Top 5",
IF(DraftData[[#This Row],[Pick]]&lt;=14,"Lottery",
IF(DraftData[[#This Row],[Pick]]&lt;=20,"Mid First","Late First")))</f>
        <v>Mid First</v>
      </c>
      <c r="W289" t="str">
        <f>IF(DraftData[[#This Row],[Win Shares]]&gt;=80,"Star",
IF(DraftData[[#This Row],[Win Shares]]&gt;=30,"Starter",
IF(DraftData[[#This Row],[Win Shares]]&gt;=10,"Rotation","Minimal")))</f>
        <v>Minimal</v>
      </c>
      <c r="X289" t="str">
        <f>IF(AND(DraftData[[#This Row],[Pick]]&lt;=14,DraftData[[#This Row],[Win Shares]]&lt;10),"Yes","No")</f>
        <v>No</v>
      </c>
      <c r="Y289" s="2">
        <f>DraftData[[#This Row],[Win Shares]]/DraftData[[#This Row],[Pick]]</f>
        <v>7.2222222222222229E-2</v>
      </c>
      <c r="Z289" s="2">
        <f>DraftData[[#This Row],[Win Shares]]-_xlfn.XLOOKUP(DraftData[[#This Row],[Pick]],'Lookup Tables'!$A$2:$A$31,'Lookup Tables'!$B$2:$B$31)</f>
        <v>-16.008333333333333</v>
      </c>
    </row>
    <row r="290" spans="1:26">
      <c r="A290">
        <v>2014</v>
      </c>
      <c r="B290">
        <v>19</v>
      </c>
      <c r="C290" t="s">
        <v>111</v>
      </c>
      <c r="D290" t="s">
        <v>442</v>
      </c>
      <c r="E290" t="s">
        <v>150</v>
      </c>
      <c r="F290">
        <v>459</v>
      </c>
      <c r="G290">
        <v>13270</v>
      </c>
      <c r="H290">
        <v>5442</v>
      </c>
      <c r="I290">
        <v>1151</v>
      </c>
      <c r="J290">
        <v>957</v>
      </c>
      <c r="K290">
        <v>0.44900000000000001</v>
      </c>
      <c r="L290">
        <v>0.36199999999999999</v>
      </c>
      <c r="M290">
        <v>0.80900000000000005</v>
      </c>
      <c r="N290">
        <v>20.3</v>
      </c>
      <c r="O290">
        <v>7.2999999999999995E-2</v>
      </c>
      <c r="P290">
        <v>-1.4</v>
      </c>
      <c r="Q290">
        <v>2</v>
      </c>
      <c r="R290">
        <v>28.9</v>
      </c>
      <c r="S290">
        <v>11.9</v>
      </c>
      <c r="T290">
        <v>2.5</v>
      </c>
      <c r="U290">
        <v>2.1</v>
      </c>
      <c r="V290" t="str">
        <f>IF(DraftData[[#This Row],[Pick]]&lt;=5,"Top 5",
IF(DraftData[[#This Row],[Pick]]&lt;=14,"Lottery",
IF(DraftData[[#This Row],[Pick]]&lt;=20,"Mid First","Late First")))</f>
        <v>Mid First</v>
      </c>
      <c r="W290" t="str">
        <f>IF(DraftData[[#This Row],[Win Shares]]&gt;=80,"Star",
IF(DraftData[[#This Row],[Win Shares]]&gt;=30,"Starter",
IF(DraftData[[#This Row],[Win Shares]]&gt;=10,"Rotation","Minimal")))</f>
        <v>Rotation</v>
      </c>
      <c r="X290" t="str">
        <f>IF(AND(DraftData[[#This Row],[Pick]]&lt;=14,DraftData[[#This Row],[Win Shares]]&lt;10),"Yes","No")</f>
        <v>No</v>
      </c>
      <c r="Y290" s="2">
        <f>DraftData[[#This Row],[Win Shares]]/DraftData[[#This Row],[Pick]]</f>
        <v>1.0684210526315789</v>
      </c>
      <c r="Z290" s="2">
        <f>DraftData[[#This Row],[Win Shares]]-_xlfn.XLOOKUP(DraftData[[#This Row],[Pick]],'Lookup Tables'!$A$2:$A$31,'Lookup Tables'!$B$2:$B$31)</f>
        <v>2.7249999999999979</v>
      </c>
    </row>
    <row r="291" spans="1:26">
      <c r="A291">
        <v>2014</v>
      </c>
      <c r="B291">
        <v>20</v>
      </c>
      <c r="C291" t="s">
        <v>52</v>
      </c>
      <c r="D291" t="s">
        <v>443</v>
      </c>
      <c r="F291">
        <v>105</v>
      </c>
      <c r="G291">
        <v>1293</v>
      </c>
      <c r="H291">
        <v>442</v>
      </c>
      <c r="I291">
        <v>268</v>
      </c>
      <c r="J291">
        <v>72</v>
      </c>
      <c r="K291">
        <v>0.40300000000000002</v>
      </c>
      <c r="L291">
        <v>0.308</v>
      </c>
      <c r="M291">
        <v>0.83599999999999997</v>
      </c>
      <c r="N291">
        <v>1.5</v>
      </c>
      <c r="O291">
        <v>5.3999999999999999E-2</v>
      </c>
      <c r="P291">
        <v>-2.7</v>
      </c>
      <c r="Q291">
        <v>-0.2</v>
      </c>
      <c r="R291">
        <v>12.3</v>
      </c>
      <c r="S291">
        <v>4.2</v>
      </c>
      <c r="T291">
        <v>2.6</v>
      </c>
      <c r="U291">
        <v>0.7</v>
      </c>
      <c r="V291" t="str">
        <f>IF(DraftData[[#This Row],[Pick]]&lt;=5,"Top 5",
IF(DraftData[[#This Row],[Pick]]&lt;=14,"Lottery",
IF(DraftData[[#This Row],[Pick]]&lt;=20,"Mid First","Late First")))</f>
        <v>Mid First</v>
      </c>
      <c r="W291" t="str">
        <f>IF(DraftData[[#This Row],[Win Shares]]&gt;=80,"Star",
IF(DraftData[[#This Row],[Win Shares]]&gt;=30,"Starter",
IF(DraftData[[#This Row],[Win Shares]]&gt;=10,"Rotation","Minimal")))</f>
        <v>Minimal</v>
      </c>
      <c r="X291" t="str">
        <f>IF(AND(DraftData[[#This Row],[Pick]]&lt;=14,DraftData[[#This Row],[Win Shares]]&lt;10),"Yes","No")</f>
        <v>No</v>
      </c>
      <c r="Y291" s="2">
        <f>DraftData[[#This Row],[Win Shares]]/DraftData[[#This Row],[Pick]]</f>
        <v>7.4999999999999997E-2</v>
      </c>
      <c r="Z291" s="2">
        <f>DraftData[[#This Row],[Win Shares]]-_xlfn.XLOOKUP(DraftData[[#This Row],[Pick]],'Lookup Tables'!$A$2:$A$31,'Lookup Tables'!$B$2:$B$31)</f>
        <v>-8.8916666666666675</v>
      </c>
    </row>
    <row r="292" spans="1:26">
      <c r="A292">
        <v>2014</v>
      </c>
      <c r="B292">
        <v>21</v>
      </c>
      <c r="C292" t="s">
        <v>96</v>
      </c>
      <c r="D292" t="s">
        <v>444</v>
      </c>
      <c r="E292" t="s">
        <v>397</v>
      </c>
      <c r="F292">
        <v>52</v>
      </c>
      <c r="G292">
        <v>557</v>
      </c>
      <c r="H292">
        <v>227</v>
      </c>
      <c r="I292">
        <v>183</v>
      </c>
      <c r="J292">
        <v>17</v>
      </c>
      <c r="K292">
        <v>0.52700000000000002</v>
      </c>
      <c r="L292">
        <v>0</v>
      </c>
      <c r="M292">
        <v>0.57999999999999996</v>
      </c>
      <c r="N292">
        <v>1.3</v>
      </c>
      <c r="O292">
        <v>0.108</v>
      </c>
      <c r="P292">
        <v>-2.6</v>
      </c>
      <c r="Q292">
        <v>-0.1</v>
      </c>
      <c r="R292">
        <v>10.7</v>
      </c>
      <c r="S292">
        <v>4.4000000000000004</v>
      </c>
      <c r="T292">
        <v>3.5</v>
      </c>
      <c r="U292">
        <v>0.3</v>
      </c>
      <c r="V292" t="str">
        <f>IF(DraftData[[#This Row],[Pick]]&lt;=5,"Top 5",
IF(DraftData[[#This Row],[Pick]]&lt;=14,"Lottery",
IF(DraftData[[#This Row],[Pick]]&lt;=20,"Mid First","Late First")))</f>
        <v>Late First</v>
      </c>
      <c r="W292" t="str">
        <f>IF(DraftData[[#This Row],[Win Shares]]&gt;=80,"Star",
IF(DraftData[[#This Row],[Win Shares]]&gt;=30,"Starter",
IF(DraftData[[#This Row],[Win Shares]]&gt;=10,"Rotation","Minimal")))</f>
        <v>Minimal</v>
      </c>
      <c r="X292" t="str">
        <f>IF(AND(DraftData[[#This Row],[Pick]]&lt;=14,DraftData[[#This Row],[Win Shares]]&lt;10),"Yes","No")</f>
        <v>No</v>
      </c>
      <c r="Y292" s="2">
        <f>DraftData[[#This Row],[Win Shares]]/DraftData[[#This Row],[Pick]]</f>
        <v>6.1904761904761907E-2</v>
      </c>
      <c r="Z292" s="2">
        <f>DraftData[[#This Row],[Win Shares]]-_xlfn.XLOOKUP(DraftData[[#This Row],[Pick]],'Lookup Tables'!$A$2:$A$31,'Lookup Tables'!$B$2:$B$31)</f>
        <v>-19.200000000000003</v>
      </c>
    </row>
    <row r="293" spans="1:26">
      <c r="A293">
        <v>2014</v>
      </c>
      <c r="B293">
        <v>22</v>
      </c>
      <c r="C293" t="s">
        <v>80</v>
      </c>
      <c r="D293" t="s">
        <v>445</v>
      </c>
      <c r="E293" t="s">
        <v>152</v>
      </c>
      <c r="F293">
        <v>32</v>
      </c>
      <c r="G293">
        <v>263</v>
      </c>
      <c r="H293">
        <v>101</v>
      </c>
      <c r="I293">
        <v>30</v>
      </c>
      <c r="J293">
        <v>19</v>
      </c>
      <c r="K293">
        <v>0.40200000000000002</v>
      </c>
      <c r="L293">
        <v>0.38500000000000001</v>
      </c>
      <c r="M293">
        <v>0.60699999999999998</v>
      </c>
      <c r="N293">
        <v>0.4</v>
      </c>
      <c r="O293">
        <v>7.0000000000000007E-2</v>
      </c>
      <c r="P293">
        <v>1.7</v>
      </c>
      <c r="Q293">
        <v>0.2</v>
      </c>
      <c r="R293">
        <v>8.1999999999999993</v>
      </c>
      <c r="S293">
        <v>3.2</v>
      </c>
      <c r="T293">
        <v>0.9</v>
      </c>
      <c r="U293">
        <v>0.6</v>
      </c>
      <c r="V293" t="str">
        <f>IF(DraftData[[#This Row],[Pick]]&lt;=5,"Top 5",
IF(DraftData[[#This Row],[Pick]]&lt;=14,"Lottery",
IF(DraftData[[#This Row],[Pick]]&lt;=20,"Mid First","Late First")))</f>
        <v>Late First</v>
      </c>
      <c r="W293" t="str">
        <f>IF(DraftData[[#This Row],[Win Shares]]&gt;=80,"Star",
IF(DraftData[[#This Row],[Win Shares]]&gt;=30,"Starter",
IF(DraftData[[#This Row],[Win Shares]]&gt;=10,"Rotation","Minimal")))</f>
        <v>Minimal</v>
      </c>
      <c r="X293" t="str">
        <f>IF(AND(DraftData[[#This Row],[Pick]]&lt;=14,DraftData[[#This Row],[Win Shares]]&lt;10),"Yes","No")</f>
        <v>No</v>
      </c>
      <c r="Y293" s="2">
        <f>DraftData[[#This Row],[Win Shares]]/DraftData[[#This Row],[Pick]]</f>
        <v>1.8181818181818184E-2</v>
      </c>
      <c r="Z293" s="2">
        <f>DraftData[[#This Row],[Win Shares]]-_xlfn.XLOOKUP(DraftData[[#This Row],[Pick]],'Lookup Tables'!$A$2:$A$31,'Lookup Tables'!$B$2:$B$31)</f>
        <v>-18.083333333333339</v>
      </c>
    </row>
    <row r="294" spans="1:26">
      <c r="A294">
        <v>2014</v>
      </c>
      <c r="B294">
        <v>23</v>
      </c>
      <c r="C294" t="s">
        <v>42</v>
      </c>
      <c r="D294" t="s">
        <v>446</v>
      </c>
      <c r="E294" t="s">
        <v>119</v>
      </c>
      <c r="F294">
        <v>437</v>
      </c>
      <c r="G294">
        <v>10863</v>
      </c>
      <c r="H294">
        <v>4622</v>
      </c>
      <c r="I294">
        <v>1151</v>
      </c>
      <c r="J294">
        <v>729</v>
      </c>
      <c r="K294">
        <v>0.41899999999999998</v>
      </c>
      <c r="L294">
        <v>0.36399999999999999</v>
      </c>
      <c r="M294">
        <v>0.84099999999999997</v>
      </c>
      <c r="N294">
        <v>17.2</v>
      </c>
      <c r="O294">
        <v>7.5999999999999998E-2</v>
      </c>
      <c r="P294">
        <v>-1.2</v>
      </c>
      <c r="Q294">
        <v>2.1</v>
      </c>
      <c r="R294">
        <v>24.9</v>
      </c>
      <c r="S294">
        <v>10.6</v>
      </c>
      <c r="T294">
        <v>2.6</v>
      </c>
      <c r="U294">
        <v>1.7</v>
      </c>
      <c r="V294" t="str">
        <f>IF(DraftData[[#This Row],[Pick]]&lt;=5,"Top 5",
IF(DraftData[[#This Row],[Pick]]&lt;=14,"Lottery",
IF(DraftData[[#This Row],[Pick]]&lt;=20,"Mid First","Late First")))</f>
        <v>Late First</v>
      </c>
      <c r="W294" t="str">
        <f>IF(DraftData[[#This Row],[Win Shares]]&gt;=80,"Star",
IF(DraftData[[#This Row],[Win Shares]]&gt;=30,"Starter",
IF(DraftData[[#This Row],[Win Shares]]&gt;=10,"Rotation","Minimal")))</f>
        <v>Rotation</v>
      </c>
      <c r="X294" t="str">
        <f>IF(AND(DraftData[[#This Row],[Pick]]&lt;=14,DraftData[[#This Row],[Win Shares]]&lt;10),"Yes","No")</f>
        <v>No</v>
      </c>
      <c r="Y294" s="2">
        <f>DraftData[[#This Row],[Win Shares]]/DraftData[[#This Row],[Pick]]</f>
        <v>0.74782608695652175</v>
      </c>
      <c r="Z294" s="2">
        <f>DraftData[[#This Row],[Win Shares]]-_xlfn.XLOOKUP(DraftData[[#This Row],[Pick]],'Lookup Tables'!$A$2:$A$31,'Lookup Tables'!$B$2:$B$31)</f>
        <v>0.55833333333333357</v>
      </c>
    </row>
    <row r="295" spans="1:26">
      <c r="A295">
        <v>2014</v>
      </c>
      <c r="B295">
        <v>24</v>
      </c>
      <c r="C295" t="s">
        <v>48</v>
      </c>
      <c r="D295" t="s">
        <v>447</v>
      </c>
      <c r="E295" t="s">
        <v>54</v>
      </c>
      <c r="F295">
        <v>345</v>
      </c>
      <c r="G295">
        <v>5986</v>
      </c>
      <c r="H295">
        <v>2433</v>
      </c>
      <c r="I295">
        <v>657</v>
      </c>
      <c r="J295">
        <v>849</v>
      </c>
      <c r="K295">
        <v>0.39700000000000002</v>
      </c>
      <c r="L295">
        <v>0.34499999999999997</v>
      </c>
      <c r="M295">
        <v>0.81499999999999995</v>
      </c>
      <c r="N295">
        <v>8.1</v>
      </c>
      <c r="O295">
        <v>6.5000000000000002E-2</v>
      </c>
      <c r="P295">
        <v>-0.7</v>
      </c>
      <c r="Q295">
        <v>2</v>
      </c>
      <c r="R295">
        <v>17.399999999999999</v>
      </c>
      <c r="S295">
        <v>7.1</v>
      </c>
      <c r="T295">
        <v>1.9</v>
      </c>
      <c r="U295">
        <v>2.5</v>
      </c>
      <c r="V295" t="str">
        <f>IF(DraftData[[#This Row],[Pick]]&lt;=5,"Top 5",
IF(DraftData[[#This Row],[Pick]]&lt;=14,"Lottery",
IF(DraftData[[#This Row],[Pick]]&lt;=20,"Mid First","Late First")))</f>
        <v>Late First</v>
      </c>
      <c r="W295" t="str">
        <f>IF(DraftData[[#This Row],[Win Shares]]&gt;=80,"Star",
IF(DraftData[[#This Row],[Win Shares]]&gt;=30,"Starter",
IF(DraftData[[#This Row],[Win Shares]]&gt;=10,"Rotation","Minimal")))</f>
        <v>Minimal</v>
      </c>
      <c r="X295" t="str">
        <f>IF(AND(DraftData[[#This Row],[Pick]]&lt;=14,DraftData[[#This Row],[Win Shares]]&lt;10),"Yes","No")</f>
        <v>No</v>
      </c>
      <c r="Y295" s="2">
        <f>DraftData[[#This Row],[Win Shares]]/DraftData[[#This Row],[Pick]]</f>
        <v>0.33749999999999997</v>
      </c>
      <c r="Z295" s="2">
        <f>DraftData[[#This Row],[Win Shares]]-_xlfn.XLOOKUP(DraftData[[#This Row],[Pick]],'Lookup Tables'!$A$2:$A$31,'Lookup Tables'!$B$2:$B$31)</f>
        <v>-16.399999999999999</v>
      </c>
    </row>
    <row r="296" spans="1:26">
      <c r="A296">
        <v>2014</v>
      </c>
      <c r="B296">
        <v>25</v>
      </c>
      <c r="C296" t="s">
        <v>94</v>
      </c>
      <c r="D296" t="s">
        <v>448</v>
      </c>
      <c r="F296">
        <v>447</v>
      </c>
      <c r="G296">
        <v>11974</v>
      </c>
      <c r="H296">
        <v>5566</v>
      </c>
      <c r="I296">
        <v>4749</v>
      </c>
      <c r="J296">
        <v>443</v>
      </c>
      <c r="K296">
        <v>0.622</v>
      </c>
      <c r="L296">
        <v>0</v>
      </c>
      <c r="M296">
        <v>0.52800000000000002</v>
      </c>
      <c r="N296">
        <v>49.8</v>
      </c>
      <c r="O296">
        <v>0.2</v>
      </c>
      <c r="P296">
        <v>2</v>
      </c>
      <c r="Q296">
        <v>12.1</v>
      </c>
      <c r="R296">
        <v>26.8</v>
      </c>
      <c r="S296">
        <v>12.5</v>
      </c>
      <c r="T296">
        <v>10.6</v>
      </c>
      <c r="U296">
        <v>1</v>
      </c>
      <c r="V296" t="str">
        <f>IF(DraftData[[#This Row],[Pick]]&lt;=5,"Top 5",
IF(DraftData[[#This Row],[Pick]]&lt;=14,"Lottery",
IF(DraftData[[#This Row],[Pick]]&lt;=20,"Mid First","Late First")))</f>
        <v>Late First</v>
      </c>
      <c r="W296" t="str">
        <f>IF(DraftData[[#This Row],[Win Shares]]&gt;=80,"Star",
IF(DraftData[[#This Row],[Win Shares]]&gt;=30,"Starter",
IF(DraftData[[#This Row],[Win Shares]]&gt;=10,"Rotation","Minimal")))</f>
        <v>Starter</v>
      </c>
      <c r="X296" t="str">
        <f>IF(AND(DraftData[[#This Row],[Pick]]&lt;=14,DraftData[[#This Row],[Win Shares]]&lt;10),"Yes","No")</f>
        <v>No</v>
      </c>
      <c r="Y296" s="2">
        <f>DraftData[[#This Row],[Win Shares]]/DraftData[[#This Row],[Pick]]</f>
        <v>1.992</v>
      </c>
      <c r="Z296" s="2">
        <f>DraftData[[#This Row],[Win Shares]]-_xlfn.XLOOKUP(DraftData[[#This Row],[Pick]],'Lookup Tables'!$A$2:$A$31,'Lookup Tables'!$B$2:$B$31)</f>
        <v>36.9</v>
      </c>
    </row>
    <row r="297" spans="1:26">
      <c r="A297">
        <v>2014</v>
      </c>
      <c r="B297">
        <v>26</v>
      </c>
      <c r="C297" t="s">
        <v>105</v>
      </c>
      <c r="D297" t="s">
        <v>449</v>
      </c>
      <c r="E297" t="s">
        <v>41</v>
      </c>
      <c r="F297">
        <v>111</v>
      </c>
      <c r="G297">
        <v>2000</v>
      </c>
      <c r="H297">
        <v>664</v>
      </c>
      <c r="I297">
        <v>266</v>
      </c>
      <c r="J297">
        <v>59</v>
      </c>
      <c r="K297">
        <v>0.34300000000000003</v>
      </c>
      <c r="L297">
        <v>0.29499999999999998</v>
      </c>
      <c r="M297">
        <v>0.81</v>
      </c>
      <c r="N297">
        <v>0.9</v>
      </c>
      <c r="O297">
        <v>2.1000000000000001E-2</v>
      </c>
      <c r="P297">
        <v>-3.9</v>
      </c>
      <c r="Q297">
        <v>-1</v>
      </c>
      <c r="R297">
        <v>18</v>
      </c>
      <c r="S297">
        <v>6</v>
      </c>
      <c r="T297">
        <v>2.4</v>
      </c>
      <c r="U297">
        <v>0.5</v>
      </c>
      <c r="V297" t="str">
        <f>IF(DraftData[[#This Row],[Pick]]&lt;=5,"Top 5",
IF(DraftData[[#This Row],[Pick]]&lt;=14,"Lottery",
IF(DraftData[[#This Row],[Pick]]&lt;=20,"Mid First","Late First")))</f>
        <v>Late First</v>
      </c>
      <c r="W297" t="str">
        <f>IF(DraftData[[#This Row],[Win Shares]]&gt;=80,"Star",
IF(DraftData[[#This Row],[Win Shares]]&gt;=30,"Starter",
IF(DraftData[[#This Row],[Win Shares]]&gt;=10,"Rotation","Minimal")))</f>
        <v>Minimal</v>
      </c>
      <c r="X297" t="str">
        <f>IF(AND(DraftData[[#This Row],[Pick]]&lt;=14,DraftData[[#This Row],[Win Shares]]&lt;10),"Yes","No")</f>
        <v>No</v>
      </c>
      <c r="Y297" s="2">
        <f>DraftData[[#This Row],[Win Shares]]/DraftData[[#This Row],[Pick]]</f>
        <v>3.4615384615384617E-2</v>
      </c>
      <c r="Z297" s="2">
        <f>DraftData[[#This Row],[Win Shares]]-_xlfn.XLOOKUP(DraftData[[#This Row],[Pick]],'Lookup Tables'!$A$2:$A$31,'Lookup Tables'!$B$2:$B$31)</f>
        <v>-19.500000000000004</v>
      </c>
    </row>
    <row r="298" spans="1:26">
      <c r="A298">
        <v>2014</v>
      </c>
      <c r="B298">
        <v>27</v>
      </c>
      <c r="C298" t="s">
        <v>86</v>
      </c>
      <c r="D298" t="s">
        <v>450</v>
      </c>
      <c r="F298">
        <v>293</v>
      </c>
      <c r="G298">
        <v>8342</v>
      </c>
      <c r="H298">
        <v>4082</v>
      </c>
      <c r="I298">
        <v>987</v>
      </c>
      <c r="J298">
        <v>999</v>
      </c>
      <c r="K298">
        <v>0.44</v>
      </c>
      <c r="L298">
        <v>0.38600000000000001</v>
      </c>
      <c r="M298">
        <v>0.81599999999999995</v>
      </c>
      <c r="N298">
        <v>14.5</v>
      </c>
      <c r="O298">
        <v>8.4000000000000005E-2</v>
      </c>
      <c r="P298">
        <v>0.3</v>
      </c>
      <c r="Q298">
        <v>4.8</v>
      </c>
      <c r="R298">
        <v>28.5</v>
      </c>
      <c r="S298">
        <v>13.9</v>
      </c>
      <c r="T298">
        <v>3.4</v>
      </c>
      <c r="U298">
        <v>3.4</v>
      </c>
      <c r="V298" t="str">
        <f>IF(DraftData[[#This Row],[Pick]]&lt;=5,"Top 5",
IF(DraftData[[#This Row],[Pick]]&lt;=14,"Lottery",
IF(DraftData[[#This Row],[Pick]]&lt;=20,"Mid First","Late First")))</f>
        <v>Late First</v>
      </c>
      <c r="W298" t="str">
        <f>IF(DraftData[[#This Row],[Win Shares]]&gt;=80,"Star",
IF(DraftData[[#This Row],[Win Shares]]&gt;=30,"Starter",
IF(DraftData[[#This Row],[Win Shares]]&gt;=10,"Rotation","Minimal")))</f>
        <v>Rotation</v>
      </c>
      <c r="X298" t="str">
        <f>IF(AND(DraftData[[#This Row],[Pick]]&lt;=14,DraftData[[#This Row],[Win Shares]]&lt;10),"Yes","No")</f>
        <v>No</v>
      </c>
      <c r="Y298" s="2">
        <f>DraftData[[#This Row],[Win Shares]]/DraftData[[#This Row],[Pick]]</f>
        <v>0.53703703703703709</v>
      </c>
      <c r="Z298" s="2">
        <f>DraftData[[#This Row],[Win Shares]]-_xlfn.XLOOKUP(DraftData[[#This Row],[Pick]],'Lookup Tables'!$A$2:$A$31,'Lookup Tables'!$B$2:$B$31)</f>
        <v>-6.6083333333333343</v>
      </c>
    </row>
    <row r="299" spans="1:26">
      <c r="A299">
        <v>2014</v>
      </c>
      <c r="B299">
        <v>28</v>
      </c>
      <c r="C299" t="s">
        <v>65</v>
      </c>
      <c r="D299" t="s">
        <v>451</v>
      </c>
      <c r="E299" t="s">
        <v>88</v>
      </c>
      <c r="F299">
        <v>66</v>
      </c>
      <c r="G299">
        <v>376</v>
      </c>
      <c r="H299">
        <v>132</v>
      </c>
      <c r="I299">
        <v>31</v>
      </c>
      <c r="J299">
        <v>30</v>
      </c>
      <c r="K299">
        <v>0.37</v>
      </c>
      <c r="L299">
        <v>0.33300000000000002</v>
      </c>
      <c r="M299">
        <v>0.81299999999999994</v>
      </c>
      <c r="N299">
        <v>0.1</v>
      </c>
      <c r="O299">
        <v>7.0000000000000001E-3</v>
      </c>
      <c r="P299">
        <v>-4.3</v>
      </c>
      <c r="Q299">
        <v>-0.2</v>
      </c>
      <c r="R299">
        <v>5.7</v>
      </c>
      <c r="S299">
        <v>2</v>
      </c>
      <c r="T299">
        <v>0.5</v>
      </c>
      <c r="U299">
        <v>0.5</v>
      </c>
      <c r="V299" t="str">
        <f>IF(DraftData[[#This Row],[Pick]]&lt;=5,"Top 5",
IF(DraftData[[#This Row],[Pick]]&lt;=14,"Lottery",
IF(DraftData[[#This Row],[Pick]]&lt;=20,"Mid First","Late First")))</f>
        <v>Late First</v>
      </c>
      <c r="W299" t="str">
        <f>IF(DraftData[[#This Row],[Win Shares]]&gt;=80,"Star",
IF(DraftData[[#This Row],[Win Shares]]&gt;=30,"Starter",
IF(DraftData[[#This Row],[Win Shares]]&gt;=10,"Rotation","Minimal")))</f>
        <v>Minimal</v>
      </c>
      <c r="X299" t="str">
        <f>IF(AND(DraftData[[#This Row],[Pick]]&lt;=14,DraftData[[#This Row],[Win Shares]]&lt;10),"Yes","No")</f>
        <v>No</v>
      </c>
      <c r="Y299" s="2">
        <f>DraftData[[#This Row],[Win Shares]]/DraftData[[#This Row],[Pick]]</f>
        <v>3.5714285714285718E-3</v>
      </c>
      <c r="Z299" s="2">
        <f>DraftData[[#This Row],[Win Shares]]-_xlfn.XLOOKUP(DraftData[[#This Row],[Pick]],'Lookup Tables'!$A$2:$A$31,'Lookup Tables'!$B$2:$B$31)</f>
        <v>-8.5454545454545467</v>
      </c>
    </row>
    <row r="300" spans="1:26">
      <c r="A300">
        <v>2014</v>
      </c>
      <c r="B300">
        <v>29</v>
      </c>
      <c r="C300" t="s">
        <v>96</v>
      </c>
      <c r="D300" t="s">
        <v>452</v>
      </c>
      <c r="E300" t="s">
        <v>213</v>
      </c>
      <c r="F300">
        <v>76</v>
      </c>
      <c r="G300">
        <v>1068</v>
      </c>
      <c r="H300">
        <v>187</v>
      </c>
      <c r="I300">
        <v>180</v>
      </c>
      <c r="J300">
        <v>23</v>
      </c>
      <c r="K300">
        <v>0.34599999999999997</v>
      </c>
      <c r="L300">
        <v>0.312</v>
      </c>
      <c r="M300">
        <v>0.24</v>
      </c>
      <c r="N300">
        <v>0.7</v>
      </c>
      <c r="O300">
        <v>0.03</v>
      </c>
      <c r="P300">
        <v>-3.5</v>
      </c>
      <c r="Q300">
        <v>-0.4</v>
      </c>
      <c r="R300">
        <v>14.1</v>
      </c>
      <c r="S300">
        <v>2.5</v>
      </c>
      <c r="T300">
        <v>2.4</v>
      </c>
      <c r="U300">
        <v>0.3</v>
      </c>
      <c r="V300" t="str">
        <f>IF(DraftData[[#This Row],[Pick]]&lt;=5,"Top 5",
IF(DraftData[[#This Row],[Pick]]&lt;=14,"Lottery",
IF(DraftData[[#This Row],[Pick]]&lt;=20,"Mid First","Late First")))</f>
        <v>Late First</v>
      </c>
      <c r="W300" t="str">
        <f>IF(DraftData[[#This Row],[Win Shares]]&gt;=80,"Star",
IF(DraftData[[#This Row],[Win Shares]]&gt;=30,"Starter",
IF(DraftData[[#This Row],[Win Shares]]&gt;=10,"Rotation","Minimal")))</f>
        <v>Minimal</v>
      </c>
      <c r="X300" t="str">
        <f>IF(AND(DraftData[[#This Row],[Pick]]&lt;=14,DraftData[[#This Row],[Win Shares]]&lt;10),"Yes","No")</f>
        <v>No</v>
      </c>
      <c r="Y300" s="2">
        <f>DraftData[[#This Row],[Win Shares]]/DraftData[[#This Row],[Pick]]</f>
        <v>2.4137931034482758E-2</v>
      </c>
      <c r="Z300" s="2">
        <f>DraftData[[#This Row],[Win Shares]]-_xlfn.XLOOKUP(DraftData[[#This Row],[Pick]],'Lookup Tables'!$A$2:$A$31,'Lookup Tables'!$B$2:$B$31)</f>
        <v>-4.3666666666666671</v>
      </c>
    </row>
    <row r="301" spans="1:26">
      <c r="A301">
        <v>2014</v>
      </c>
      <c r="B301">
        <v>30</v>
      </c>
      <c r="C301" t="s">
        <v>103</v>
      </c>
      <c r="D301" t="s">
        <v>453</v>
      </c>
      <c r="E301" t="s">
        <v>152</v>
      </c>
      <c r="F301">
        <v>483</v>
      </c>
      <c r="G301">
        <v>10121</v>
      </c>
      <c r="H301">
        <v>3202</v>
      </c>
      <c r="I301">
        <v>2098</v>
      </c>
      <c r="J301">
        <v>1109</v>
      </c>
      <c r="K301">
        <v>0.47599999999999998</v>
      </c>
      <c r="L301">
        <v>0.33500000000000002</v>
      </c>
      <c r="M301">
        <v>0.71399999999999997</v>
      </c>
      <c r="N301">
        <v>25.7</v>
      </c>
      <c r="O301">
        <v>0.122</v>
      </c>
      <c r="P301">
        <v>1.7</v>
      </c>
      <c r="Q301">
        <v>9.5</v>
      </c>
      <c r="R301">
        <v>21</v>
      </c>
      <c r="S301">
        <v>6.6</v>
      </c>
      <c r="T301">
        <v>4.3</v>
      </c>
      <c r="U301">
        <v>2.2999999999999998</v>
      </c>
      <c r="V301" t="str">
        <f>IF(DraftData[[#This Row],[Pick]]&lt;=5,"Top 5",
IF(DraftData[[#This Row],[Pick]]&lt;=14,"Lottery",
IF(DraftData[[#This Row],[Pick]]&lt;=20,"Mid First","Late First")))</f>
        <v>Late First</v>
      </c>
      <c r="W301" t="str">
        <f>IF(DraftData[[#This Row],[Win Shares]]&gt;=80,"Star",
IF(DraftData[[#This Row],[Win Shares]]&gt;=30,"Starter",
IF(DraftData[[#This Row],[Win Shares]]&gt;=10,"Rotation","Minimal")))</f>
        <v>Rotation</v>
      </c>
      <c r="X301" t="str">
        <f>IF(AND(DraftData[[#This Row],[Pick]]&lt;=14,DraftData[[#This Row],[Win Shares]]&lt;10),"Yes","No")</f>
        <v>No</v>
      </c>
      <c r="Y301" s="2">
        <f>DraftData[[#This Row],[Win Shares]]/DraftData[[#This Row],[Pick]]</f>
        <v>0.85666666666666669</v>
      </c>
      <c r="Z301" s="2">
        <f>DraftData[[#This Row],[Win Shares]]-_xlfn.XLOOKUP(DraftData[[#This Row],[Pick]],'Lookup Tables'!$A$2:$A$31,'Lookup Tables'!$B$2:$B$31)</f>
        <v>4.9818181818181841</v>
      </c>
    </row>
    <row r="302" spans="1:26">
      <c r="A302">
        <v>2015</v>
      </c>
      <c r="B302">
        <v>1</v>
      </c>
      <c r="C302" t="s">
        <v>68</v>
      </c>
      <c r="D302" t="s">
        <v>454</v>
      </c>
      <c r="E302" t="s">
        <v>144</v>
      </c>
      <c r="F302">
        <v>460</v>
      </c>
      <c r="G302">
        <v>15779</v>
      </c>
      <c r="H302">
        <v>10621</v>
      </c>
      <c r="I302">
        <v>5243</v>
      </c>
      <c r="J302">
        <v>1424</v>
      </c>
      <c r="K302">
        <v>0.52700000000000002</v>
      </c>
      <c r="L302">
        <v>0.39600000000000002</v>
      </c>
      <c r="M302">
        <v>0.83299999999999996</v>
      </c>
      <c r="N302">
        <v>63</v>
      </c>
      <c r="O302">
        <v>0.192</v>
      </c>
      <c r="P302">
        <v>4.8</v>
      </c>
      <c r="Q302">
        <v>27.2</v>
      </c>
      <c r="R302">
        <v>34.299999999999997</v>
      </c>
      <c r="S302">
        <v>23.1</v>
      </c>
      <c r="T302">
        <v>11.4</v>
      </c>
      <c r="U302">
        <v>3.1</v>
      </c>
      <c r="V302" t="str">
        <f>IF(DraftData[[#This Row],[Pick]]&lt;=5,"Top 5",
IF(DraftData[[#This Row],[Pick]]&lt;=14,"Lottery",
IF(DraftData[[#This Row],[Pick]]&lt;=20,"Mid First","Late First")))</f>
        <v>Top 5</v>
      </c>
      <c r="W302" t="str">
        <f>IF(DraftData[[#This Row],[Win Shares]]&gt;=80,"Star",
IF(DraftData[[#This Row],[Win Shares]]&gt;=30,"Starter",
IF(DraftData[[#This Row],[Win Shares]]&gt;=10,"Rotation","Minimal")))</f>
        <v>Starter</v>
      </c>
      <c r="X302" t="str">
        <f>IF(AND(DraftData[[#This Row],[Pick]]&lt;=14,DraftData[[#This Row],[Win Shares]]&lt;10),"Yes","No")</f>
        <v>No</v>
      </c>
      <c r="Y302" s="2">
        <f>DraftData[[#This Row],[Win Shares]]/DraftData[[#This Row],[Pick]]</f>
        <v>63</v>
      </c>
      <c r="Z302" s="2">
        <f>DraftData[[#This Row],[Win Shares]]-_xlfn.XLOOKUP(DraftData[[#This Row],[Pick]],'Lookup Tables'!$A$2:$A$31,'Lookup Tables'!$B$2:$B$31)</f>
        <v>19.416666666666664</v>
      </c>
    </row>
    <row r="303" spans="1:26">
      <c r="A303">
        <v>2015</v>
      </c>
      <c r="B303">
        <v>2</v>
      </c>
      <c r="C303" t="s">
        <v>61</v>
      </c>
      <c r="D303" t="s">
        <v>455</v>
      </c>
      <c r="E303" t="s">
        <v>160</v>
      </c>
      <c r="F303">
        <v>404</v>
      </c>
      <c r="G303">
        <v>11849</v>
      </c>
      <c r="H303">
        <v>7175</v>
      </c>
      <c r="I303">
        <v>1444</v>
      </c>
      <c r="J303">
        <v>2225</v>
      </c>
      <c r="K303">
        <v>0.42</v>
      </c>
      <c r="L303">
        <v>0.35899999999999999</v>
      </c>
      <c r="M303">
        <v>0.77500000000000002</v>
      </c>
      <c r="N303">
        <v>13.2</v>
      </c>
      <c r="O303">
        <v>5.2999999999999999E-2</v>
      </c>
      <c r="P303">
        <v>0.6</v>
      </c>
      <c r="Q303">
        <v>7.8</v>
      </c>
      <c r="R303">
        <v>29.3</v>
      </c>
      <c r="S303">
        <v>17.8</v>
      </c>
      <c r="T303">
        <v>3.6</v>
      </c>
      <c r="U303">
        <v>5.5</v>
      </c>
      <c r="V303" t="str">
        <f>IF(DraftData[[#This Row],[Pick]]&lt;=5,"Top 5",
IF(DraftData[[#This Row],[Pick]]&lt;=14,"Lottery",
IF(DraftData[[#This Row],[Pick]]&lt;=20,"Mid First","Late First")))</f>
        <v>Top 5</v>
      </c>
      <c r="W303" t="str">
        <f>IF(DraftData[[#This Row],[Win Shares]]&gt;=80,"Star",
IF(DraftData[[#This Row],[Win Shares]]&gt;=30,"Starter",
IF(DraftData[[#This Row],[Win Shares]]&gt;=10,"Rotation","Minimal")))</f>
        <v>Rotation</v>
      </c>
      <c r="X303" t="str">
        <f>IF(AND(DraftData[[#This Row],[Pick]]&lt;=14,DraftData[[#This Row],[Win Shares]]&lt;10),"Yes","No")</f>
        <v>No</v>
      </c>
      <c r="Y303" s="2">
        <f>DraftData[[#This Row],[Win Shares]]/DraftData[[#This Row],[Pick]]</f>
        <v>6.6</v>
      </c>
      <c r="Z303" s="2">
        <f>DraftData[[#This Row],[Win Shares]]-_xlfn.XLOOKUP(DraftData[[#This Row],[Pick]],'Lookup Tables'!$A$2:$A$31,'Lookup Tables'!$B$2:$B$31)</f>
        <v>-26.591666666666665</v>
      </c>
    </row>
    <row r="304" spans="1:26">
      <c r="A304">
        <v>2015</v>
      </c>
      <c r="B304">
        <v>3</v>
      </c>
      <c r="C304" t="s">
        <v>129</v>
      </c>
      <c r="D304" t="s">
        <v>456</v>
      </c>
      <c r="E304" t="s">
        <v>119</v>
      </c>
      <c r="F304">
        <v>247</v>
      </c>
      <c r="G304">
        <v>4827</v>
      </c>
      <c r="H304">
        <v>2566</v>
      </c>
      <c r="I304">
        <v>1169</v>
      </c>
      <c r="J304">
        <v>225</v>
      </c>
      <c r="K304">
        <v>0.54200000000000004</v>
      </c>
      <c r="L304">
        <v>0.222</v>
      </c>
      <c r="M304">
        <v>0.67600000000000005</v>
      </c>
      <c r="N304">
        <v>7.2</v>
      </c>
      <c r="O304">
        <v>7.0999999999999994E-2</v>
      </c>
      <c r="P304">
        <v>-2</v>
      </c>
      <c r="Q304">
        <v>0</v>
      </c>
      <c r="R304">
        <v>19.5</v>
      </c>
      <c r="S304">
        <v>10.4</v>
      </c>
      <c r="T304">
        <v>4.7</v>
      </c>
      <c r="U304">
        <v>0.9</v>
      </c>
      <c r="V304" t="str">
        <f>IF(DraftData[[#This Row],[Pick]]&lt;=5,"Top 5",
IF(DraftData[[#This Row],[Pick]]&lt;=14,"Lottery",
IF(DraftData[[#This Row],[Pick]]&lt;=20,"Mid First","Late First")))</f>
        <v>Top 5</v>
      </c>
      <c r="W304" t="str">
        <f>IF(DraftData[[#This Row],[Win Shares]]&gt;=80,"Star",
IF(DraftData[[#This Row],[Win Shares]]&gt;=30,"Starter",
IF(DraftData[[#This Row],[Win Shares]]&gt;=10,"Rotation","Minimal")))</f>
        <v>Minimal</v>
      </c>
      <c r="X304" t="str">
        <f>IF(AND(DraftData[[#This Row],[Pick]]&lt;=14,DraftData[[#This Row],[Win Shares]]&lt;10),"Yes","No")</f>
        <v>Yes</v>
      </c>
      <c r="Y304" s="2">
        <f>DraftData[[#This Row],[Win Shares]]/DraftData[[#This Row],[Pick]]</f>
        <v>2.4</v>
      </c>
      <c r="Z304" s="2">
        <f>DraftData[[#This Row],[Win Shares]]-_xlfn.XLOOKUP(DraftData[[#This Row],[Pick]],'Lookup Tables'!$A$2:$A$31,'Lookup Tables'!$B$2:$B$31)</f>
        <v>-43.56666666666667</v>
      </c>
    </row>
    <row r="305" spans="1:26">
      <c r="A305">
        <v>2015</v>
      </c>
      <c r="B305">
        <v>4</v>
      </c>
      <c r="C305" t="s">
        <v>55</v>
      </c>
      <c r="D305" t="s">
        <v>457</v>
      </c>
      <c r="F305">
        <v>320</v>
      </c>
      <c r="G305">
        <v>9907</v>
      </c>
      <c r="H305">
        <v>5995</v>
      </c>
      <c r="I305">
        <v>2499</v>
      </c>
      <c r="J305">
        <v>487</v>
      </c>
      <c r="K305">
        <v>0.442</v>
      </c>
      <c r="L305">
        <v>0.35299999999999998</v>
      </c>
      <c r="M305">
        <v>0.81599999999999995</v>
      </c>
      <c r="N305">
        <v>25.1</v>
      </c>
      <c r="O305">
        <v>0.122</v>
      </c>
      <c r="P305">
        <v>1.5</v>
      </c>
      <c r="Q305">
        <v>8.8000000000000007</v>
      </c>
      <c r="R305">
        <v>31</v>
      </c>
      <c r="S305">
        <v>18.7</v>
      </c>
      <c r="T305">
        <v>7.8</v>
      </c>
      <c r="U305">
        <v>1.5</v>
      </c>
      <c r="V305" t="str">
        <f>IF(DraftData[[#This Row],[Pick]]&lt;=5,"Top 5",
IF(DraftData[[#This Row],[Pick]]&lt;=14,"Lottery",
IF(DraftData[[#This Row],[Pick]]&lt;=20,"Mid First","Late First")))</f>
        <v>Top 5</v>
      </c>
      <c r="W305" t="str">
        <f>IF(DraftData[[#This Row],[Win Shares]]&gt;=80,"Star",
IF(DraftData[[#This Row],[Win Shares]]&gt;=30,"Starter",
IF(DraftData[[#This Row],[Win Shares]]&gt;=10,"Rotation","Minimal")))</f>
        <v>Rotation</v>
      </c>
      <c r="X305" t="str">
        <f>IF(AND(DraftData[[#This Row],[Pick]]&lt;=14,DraftData[[#This Row],[Win Shares]]&lt;10),"Yes","No")</f>
        <v>No</v>
      </c>
      <c r="Y305" s="2">
        <f>DraftData[[#This Row],[Win Shares]]/DraftData[[#This Row],[Pick]]</f>
        <v>6.2750000000000004</v>
      </c>
      <c r="Z305" s="2">
        <f>DraftData[[#This Row],[Win Shares]]-_xlfn.XLOOKUP(DraftData[[#This Row],[Pick]],'Lookup Tables'!$A$2:$A$31,'Lookup Tables'!$B$2:$B$31)</f>
        <v>-23.458333333333336</v>
      </c>
    </row>
    <row r="306" spans="1:26">
      <c r="A306">
        <v>2015</v>
      </c>
      <c r="B306">
        <v>5</v>
      </c>
      <c r="C306" t="s">
        <v>63</v>
      </c>
      <c r="D306" t="s">
        <v>458</v>
      </c>
      <c r="F306">
        <v>330</v>
      </c>
      <c r="G306">
        <v>6107</v>
      </c>
      <c r="H306">
        <v>2284</v>
      </c>
      <c r="I306">
        <v>1026</v>
      </c>
      <c r="J306">
        <v>415</v>
      </c>
      <c r="K306">
        <v>0.41699999999999998</v>
      </c>
      <c r="L306">
        <v>0.31900000000000001</v>
      </c>
      <c r="M306">
        <v>0.81200000000000006</v>
      </c>
      <c r="N306">
        <v>3.2</v>
      </c>
      <c r="O306">
        <v>2.5000000000000001E-2</v>
      </c>
      <c r="P306">
        <v>-2.8</v>
      </c>
      <c r="Q306">
        <v>-1.2</v>
      </c>
      <c r="R306">
        <v>18.5</v>
      </c>
      <c r="S306">
        <v>6.9</v>
      </c>
      <c r="T306">
        <v>3.1</v>
      </c>
      <c r="U306">
        <v>1.3</v>
      </c>
      <c r="V306" t="str">
        <f>IF(DraftData[[#This Row],[Pick]]&lt;=5,"Top 5",
IF(DraftData[[#This Row],[Pick]]&lt;=14,"Lottery",
IF(DraftData[[#This Row],[Pick]]&lt;=20,"Mid First","Late First")))</f>
        <v>Top 5</v>
      </c>
      <c r="W306" t="str">
        <f>IF(DraftData[[#This Row],[Win Shares]]&gt;=80,"Star",
IF(DraftData[[#This Row],[Win Shares]]&gt;=30,"Starter",
IF(DraftData[[#This Row],[Win Shares]]&gt;=10,"Rotation","Minimal")))</f>
        <v>Minimal</v>
      </c>
      <c r="X306" t="str">
        <f>IF(AND(DraftData[[#This Row],[Pick]]&lt;=14,DraftData[[#This Row],[Win Shares]]&lt;10),"Yes","No")</f>
        <v>Yes</v>
      </c>
      <c r="Y306" s="2">
        <f>DraftData[[#This Row],[Win Shares]]/DraftData[[#This Row],[Pick]]</f>
        <v>0.64</v>
      </c>
      <c r="Z306" s="2">
        <f>DraftData[[#This Row],[Win Shares]]-_xlfn.XLOOKUP(DraftData[[#This Row],[Pick]],'Lookup Tables'!$A$2:$A$31,'Lookup Tables'!$B$2:$B$31)</f>
        <v>-28.158333333333339</v>
      </c>
    </row>
    <row r="307" spans="1:26">
      <c r="A307">
        <v>2015</v>
      </c>
      <c r="B307">
        <v>6</v>
      </c>
      <c r="C307" t="s">
        <v>91</v>
      </c>
      <c r="D307" t="s">
        <v>459</v>
      </c>
      <c r="E307" t="s">
        <v>144</v>
      </c>
      <c r="F307">
        <v>420</v>
      </c>
      <c r="G307">
        <v>9270</v>
      </c>
      <c r="H307">
        <v>3675</v>
      </c>
      <c r="I307">
        <v>2468</v>
      </c>
      <c r="J307">
        <v>597</v>
      </c>
      <c r="K307">
        <v>0.54400000000000004</v>
      </c>
      <c r="L307">
        <v>0.188</v>
      </c>
      <c r="M307">
        <v>0.61199999999999999</v>
      </c>
      <c r="N307">
        <v>23.3</v>
      </c>
      <c r="O307">
        <v>0.121</v>
      </c>
      <c r="P307">
        <v>-0.1</v>
      </c>
      <c r="Q307">
        <v>4.4000000000000004</v>
      </c>
      <c r="R307">
        <v>22.1</v>
      </c>
      <c r="S307">
        <v>8.8000000000000007</v>
      </c>
      <c r="T307">
        <v>5.9</v>
      </c>
      <c r="U307">
        <v>1.4</v>
      </c>
      <c r="V307" t="str">
        <f>IF(DraftData[[#This Row],[Pick]]&lt;=5,"Top 5",
IF(DraftData[[#This Row],[Pick]]&lt;=14,"Lottery",
IF(DraftData[[#This Row],[Pick]]&lt;=20,"Mid First","Late First")))</f>
        <v>Lottery</v>
      </c>
      <c r="W307" t="str">
        <f>IF(DraftData[[#This Row],[Win Shares]]&gt;=80,"Star",
IF(DraftData[[#This Row],[Win Shares]]&gt;=30,"Starter",
IF(DraftData[[#This Row],[Win Shares]]&gt;=10,"Rotation","Minimal")))</f>
        <v>Rotation</v>
      </c>
      <c r="X307" t="str">
        <f>IF(AND(DraftData[[#This Row],[Pick]]&lt;=14,DraftData[[#This Row],[Win Shares]]&lt;10),"Yes","No")</f>
        <v>No</v>
      </c>
      <c r="Y307" s="2">
        <f>DraftData[[#This Row],[Win Shares]]/DraftData[[#This Row],[Pick]]</f>
        <v>3.8833333333333333</v>
      </c>
      <c r="Z307" s="2">
        <f>DraftData[[#This Row],[Win Shares]]-_xlfn.XLOOKUP(DraftData[[#This Row],[Pick]],'Lookup Tables'!$A$2:$A$31,'Lookup Tables'!$B$2:$B$31)</f>
        <v>-4.3583333333333343</v>
      </c>
    </row>
    <row r="308" spans="1:26">
      <c r="A308">
        <v>2015</v>
      </c>
      <c r="B308">
        <v>7</v>
      </c>
      <c r="C308" t="s">
        <v>83</v>
      </c>
      <c r="D308" t="s">
        <v>460</v>
      </c>
      <c r="F308">
        <v>302</v>
      </c>
      <c r="G308">
        <v>7187</v>
      </c>
      <c r="H308">
        <v>3299</v>
      </c>
      <c r="I308">
        <v>884</v>
      </c>
      <c r="J308">
        <v>1143</v>
      </c>
      <c r="K308">
        <v>0.40100000000000002</v>
      </c>
      <c r="L308">
        <v>0.32300000000000001</v>
      </c>
      <c r="M308">
        <v>0.74399999999999999</v>
      </c>
      <c r="N308">
        <v>-0.2</v>
      </c>
      <c r="O308">
        <v>-1E-3</v>
      </c>
      <c r="P308">
        <v>-3.2</v>
      </c>
      <c r="Q308">
        <v>-2.2000000000000002</v>
      </c>
      <c r="R308">
        <v>23.8</v>
      </c>
      <c r="S308">
        <v>10.9</v>
      </c>
      <c r="T308">
        <v>2.9</v>
      </c>
      <c r="U308">
        <v>3.8</v>
      </c>
      <c r="V308" t="str">
        <f>IF(DraftData[[#This Row],[Pick]]&lt;=5,"Top 5",
IF(DraftData[[#This Row],[Pick]]&lt;=14,"Lottery",
IF(DraftData[[#This Row],[Pick]]&lt;=20,"Mid First","Late First")))</f>
        <v>Lottery</v>
      </c>
      <c r="W308" t="str">
        <f>IF(DraftData[[#This Row],[Win Shares]]&gt;=80,"Star",
IF(DraftData[[#This Row],[Win Shares]]&gt;=30,"Starter",
IF(DraftData[[#This Row],[Win Shares]]&gt;=10,"Rotation","Minimal")))</f>
        <v>Minimal</v>
      </c>
      <c r="X308" t="str">
        <f>IF(AND(DraftData[[#This Row],[Pick]]&lt;=14,DraftData[[#This Row],[Win Shares]]&lt;10),"Yes","No")</f>
        <v>Yes</v>
      </c>
      <c r="Y308" s="2">
        <f>DraftData[[#This Row],[Win Shares]]/DraftData[[#This Row],[Pick]]</f>
        <v>-2.8571428571428574E-2</v>
      </c>
      <c r="Z308" s="2">
        <f>DraftData[[#This Row],[Win Shares]]-_xlfn.XLOOKUP(DraftData[[#This Row],[Pick]],'Lookup Tables'!$A$2:$A$31,'Lookup Tables'!$B$2:$B$31)</f>
        <v>-34.175000000000011</v>
      </c>
    </row>
    <row r="309" spans="1:26">
      <c r="A309">
        <v>2015</v>
      </c>
      <c r="B309">
        <v>8</v>
      </c>
      <c r="C309" t="s">
        <v>98</v>
      </c>
      <c r="D309" t="s">
        <v>461</v>
      </c>
      <c r="E309" t="s">
        <v>57</v>
      </c>
      <c r="F309">
        <v>395</v>
      </c>
      <c r="G309">
        <v>7844</v>
      </c>
      <c r="H309">
        <v>2467</v>
      </c>
      <c r="I309">
        <v>1230</v>
      </c>
      <c r="J309">
        <v>565</v>
      </c>
      <c r="K309">
        <v>0.38</v>
      </c>
      <c r="L309">
        <v>0.29899999999999999</v>
      </c>
      <c r="M309">
        <v>0.755</v>
      </c>
      <c r="N309">
        <v>5.4</v>
      </c>
      <c r="O309">
        <v>3.3000000000000002E-2</v>
      </c>
      <c r="P309">
        <v>-2.8</v>
      </c>
      <c r="Q309">
        <v>-1.7</v>
      </c>
      <c r="R309">
        <v>19.899999999999999</v>
      </c>
      <c r="S309">
        <v>6.2</v>
      </c>
      <c r="T309">
        <v>3.1</v>
      </c>
      <c r="U309">
        <v>1.4</v>
      </c>
      <c r="V309" t="str">
        <f>IF(DraftData[[#This Row],[Pick]]&lt;=5,"Top 5",
IF(DraftData[[#This Row],[Pick]]&lt;=14,"Lottery",
IF(DraftData[[#This Row],[Pick]]&lt;=20,"Mid First","Late First")))</f>
        <v>Lottery</v>
      </c>
      <c r="W309" t="str">
        <f>IF(DraftData[[#This Row],[Win Shares]]&gt;=80,"Star",
IF(DraftData[[#This Row],[Win Shares]]&gt;=30,"Starter",
IF(DraftData[[#This Row],[Win Shares]]&gt;=10,"Rotation","Minimal")))</f>
        <v>Minimal</v>
      </c>
      <c r="X309" t="str">
        <f>IF(AND(DraftData[[#This Row],[Pick]]&lt;=14,DraftData[[#This Row],[Win Shares]]&lt;10),"Yes","No")</f>
        <v>Yes</v>
      </c>
      <c r="Y309" s="2">
        <f>DraftData[[#This Row],[Win Shares]]/DraftData[[#This Row],[Pick]]</f>
        <v>0.67500000000000004</v>
      </c>
      <c r="Z309" s="2">
        <f>DraftData[[#This Row],[Win Shares]]-_xlfn.XLOOKUP(DraftData[[#This Row],[Pick]],'Lookup Tables'!$A$2:$A$31,'Lookup Tables'!$B$2:$B$31)</f>
        <v>-15.758333333333331</v>
      </c>
    </row>
    <row r="310" spans="1:26">
      <c r="A310">
        <v>2015</v>
      </c>
      <c r="B310">
        <v>9</v>
      </c>
      <c r="C310" t="s">
        <v>48</v>
      </c>
      <c r="D310" t="s">
        <v>462</v>
      </c>
      <c r="E310" t="s">
        <v>198</v>
      </c>
      <c r="F310">
        <v>377</v>
      </c>
      <c r="G310">
        <v>7925</v>
      </c>
      <c r="H310">
        <v>3541</v>
      </c>
      <c r="I310">
        <v>1527</v>
      </c>
      <c r="J310">
        <v>619</v>
      </c>
      <c r="K310">
        <v>0.42899999999999999</v>
      </c>
      <c r="L310">
        <v>0.34799999999999998</v>
      </c>
      <c r="M310">
        <v>0.74299999999999999</v>
      </c>
      <c r="N310">
        <v>15.3</v>
      </c>
      <c r="O310">
        <v>9.2999999999999999E-2</v>
      </c>
      <c r="P310">
        <v>-0.3</v>
      </c>
      <c r="Q310">
        <v>3.4</v>
      </c>
      <c r="R310">
        <v>21</v>
      </c>
      <c r="S310">
        <v>9.4</v>
      </c>
      <c r="T310">
        <v>4.0999999999999996</v>
      </c>
      <c r="U310">
        <v>1.6</v>
      </c>
      <c r="V310" t="str">
        <f>IF(DraftData[[#This Row],[Pick]]&lt;=5,"Top 5",
IF(DraftData[[#This Row],[Pick]]&lt;=14,"Lottery",
IF(DraftData[[#This Row],[Pick]]&lt;=20,"Mid First","Late First")))</f>
        <v>Lottery</v>
      </c>
      <c r="W310" t="str">
        <f>IF(DraftData[[#This Row],[Win Shares]]&gt;=80,"Star",
IF(DraftData[[#This Row],[Win Shares]]&gt;=30,"Starter",
IF(DraftData[[#This Row],[Win Shares]]&gt;=10,"Rotation","Minimal")))</f>
        <v>Rotation</v>
      </c>
      <c r="X310" t="str">
        <f>IF(AND(DraftData[[#This Row],[Pick]]&lt;=14,DraftData[[#This Row],[Win Shares]]&lt;10),"Yes","No")</f>
        <v>No</v>
      </c>
      <c r="Y310" s="2">
        <f>DraftData[[#This Row],[Win Shares]]/DraftData[[#This Row],[Pick]]</f>
        <v>1.7000000000000002</v>
      </c>
      <c r="Z310" s="2">
        <f>DraftData[[#This Row],[Win Shares]]-_xlfn.XLOOKUP(DraftData[[#This Row],[Pick]],'Lookup Tables'!$A$2:$A$31,'Lookup Tables'!$B$2:$B$31)</f>
        <v>-22.091666666666665</v>
      </c>
    </row>
    <row r="311" spans="1:26">
      <c r="A311">
        <v>2015</v>
      </c>
      <c r="B311">
        <v>10</v>
      </c>
      <c r="C311" t="s">
        <v>105</v>
      </c>
      <c r="D311" t="s">
        <v>463</v>
      </c>
      <c r="E311" t="s">
        <v>119</v>
      </c>
      <c r="F311">
        <v>310</v>
      </c>
      <c r="G311">
        <v>8022</v>
      </c>
      <c r="H311">
        <v>2587</v>
      </c>
      <c r="I311">
        <v>1590</v>
      </c>
      <c r="J311">
        <v>779</v>
      </c>
      <c r="K311">
        <v>0.41399999999999998</v>
      </c>
      <c r="L311">
        <v>0.316</v>
      </c>
      <c r="M311">
        <v>0.63800000000000001</v>
      </c>
      <c r="N311">
        <v>8</v>
      </c>
      <c r="O311">
        <v>4.8000000000000001E-2</v>
      </c>
      <c r="P311">
        <v>-2</v>
      </c>
      <c r="Q311">
        <v>0</v>
      </c>
      <c r="R311">
        <v>25.9</v>
      </c>
      <c r="S311">
        <v>8.3000000000000007</v>
      </c>
      <c r="T311">
        <v>5.0999999999999996</v>
      </c>
      <c r="U311">
        <v>2.5</v>
      </c>
      <c r="V311" t="str">
        <f>IF(DraftData[[#This Row],[Pick]]&lt;=5,"Top 5",
IF(DraftData[[#This Row],[Pick]]&lt;=14,"Lottery",
IF(DraftData[[#This Row],[Pick]]&lt;=20,"Mid First","Late First")))</f>
        <v>Lottery</v>
      </c>
      <c r="W311" t="str">
        <f>IF(DraftData[[#This Row],[Win Shares]]&gt;=80,"Star",
IF(DraftData[[#This Row],[Win Shares]]&gt;=30,"Starter",
IF(DraftData[[#This Row],[Win Shares]]&gt;=10,"Rotation","Minimal")))</f>
        <v>Minimal</v>
      </c>
      <c r="X311" t="str">
        <f>IF(AND(DraftData[[#This Row],[Pick]]&lt;=14,DraftData[[#This Row],[Win Shares]]&lt;10),"Yes","No")</f>
        <v>Yes</v>
      </c>
      <c r="Y311" s="2">
        <f>DraftData[[#This Row],[Win Shares]]/DraftData[[#This Row],[Pick]]</f>
        <v>0.8</v>
      </c>
      <c r="Z311" s="2">
        <f>DraftData[[#This Row],[Win Shares]]-_xlfn.XLOOKUP(DraftData[[#This Row],[Pick]],'Lookup Tables'!$A$2:$A$31,'Lookup Tables'!$B$2:$B$31)</f>
        <v>-18.849999999999998</v>
      </c>
    </row>
    <row r="312" spans="1:26">
      <c r="A312">
        <v>2015</v>
      </c>
      <c r="B312">
        <v>11</v>
      </c>
      <c r="C312" t="s">
        <v>75</v>
      </c>
      <c r="D312" t="s">
        <v>464</v>
      </c>
      <c r="E312" t="s">
        <v>113</v>
      </c>
      <c r="F312">
        <v>431</v>
      </c>
      <c r="G312">
        <v>12379</v>
      </c>
      <c r="H312">
        <v>5485</v>
      </c>
      <c r="I312">
        <v>2879</v>
      </c>
      <c r="J312">
        <v>513</v>
      </c>
      <c r="K312">
        <v>0.48899999999999999</v>
      </c>
      <c r="L312">
        <v>0.34899999999999998</v>
      </c>
      <c r="M312">
        <v>0.76800000000000002</v>
      </c>
      <c r="N312">
        <v>33.1</v>
      </c>
      <c r="O312">
        <v>0.128</v>
      </c>
      <c r="P312">
        <v>0.7</v>
      </c>
      <c r="Q312">
        <v>8.3000000000000007</v>
      </c>
      <c r="R312">
        <v>28.7</v>
      </c>
      <c r="S312">
        <v>12.7</v>
      </c>
      <c r="T312">
        <v>6.7</v>
      </c>
      <c r="U312">
        <v>1.2</v>
      </c>
      <c r="V312" t="str">
        <f>IF(DraftData[[#This Row],[Pick]]&lt;=5,"Top 5",
IF(DraftData[[#This Row],[Pick]]&lt;=14,"Lottery",
IF(DraftData[[#This Row],[Pick]]&lt;=20,"Mid First","Late First")))</f>
        <v>Lottery</v>
      </c>
      <c r="W312" t="str">
        <f>IF(DraftData[[#This Row],[Win Shares]]&gt;=80,"Star",
IF(DraftData[[#This Row],[Win Shares]]&gt;=30,"Starter",
IF(DraftData[[#This Row],[Win Shares]]&gt;=10,"Rotation","Minimal")))</f>
        <v>Starter</v>
      </c>
      <c r="X312" t="str">
        <f>IF(AND(DraftData[[#This Row],[Pick]]&lt;=14,DraftData[[#This Row],[Win Shares]]&lt;10),"Yes","No")</f>
        <v>No</v>
      </c>
      <c r="Y312" s="2">
        <f>DraftData[[#This Row],[Win Shares]]/DraftData[[#This Row],[Pick]]</f>
        <v>3.0090909090909093</v>
      </c>
      <c r="Z312" s="2">
        <f>DraftData[[#This Row],[Win Shares]]-_xlfn.XLOOKUP(DraftData[[#This Row],[Pick]],'Lookup Tables'!$A$2:$A$31,'Lookup Tables'!$B$2:$B$31)</f>
        <v>10.400000000000002</v>
      </c>
    </row>
    <row r="313" spans="1:26">
      <c r="A313">
        <v>2015</v>
      </c>
      <c r="B313">
        <v>12</v>
      </c>
      <c r="C313" t="s">
        <v>42</v>
      </c>
      <c r="D313" t="s">
        <v>465</v>
      </c>
      <c r="E313" t="s">
        <v>144</v>
      </c>
      <c r="F313">
        <v>427</v>
      </c>
      <c r="G313">
        <v>7678</v>
      </c>
      <c r="H313">
        <v>3253</v>
      </c>
      <c r="I313">
        <v>1821</v>
      </c>
      <c r="J313">
        <v>447</v>
      </c>
      <c r="K313">
        <v>0.438</v>
      </c>
      <c r="L313">
        <v>0.33600000000000002</v>
      </c>
      <c r="M313">
        <v>0.72599999999999998</v>
      </c>
      <c r="N313">
        <v>13.1</v>
      </c>
      <c r="O313">
        <v>8.2000000000000003E-2</v>
      </c>
      <c r="P313">
        <v>-1.1000000000000001</v>
      </c>
      <c r="Q313">
        <v>1.8</v>
      </c>
      <c r="R313">
        <v>18</v>
      </c>
      <c r="S313">
        <v>7.6</v>
      </c>
      <c r="T313">
        <v>4.3</v>
      </c>
      <c r="U313">
        <v>1</v>
      </c>
      <c r="V313" t="str">
        <f>IF(DraftData[[#This Row],[Pick]]&lt;=5,"Top 5",
IF(DraftData[[#This Row],[Pick]]&lt;=14,"Lottery",
IF(DraftData[[#This Row],[Pick]]&lt;=20,"Mid First","Late First")))</f>
        <v>Lottery</v>
      </c>
      <c r="W313" t="str">
        <f>IF(DraftData[[#This Row],[Win Shares]]&gt;=80,"Star",
IF(DraftData[[#This Row],[Win Shares]]&gt;=30,"Starter",
IF(DraftData[[#This Row],[Win Shares]]&gt;=10,"Rotation","Minimal")))</f>
        <v>Rotation</v>
      </c>
      <c r="X313" t="str">
        <f>IF(AND(DraftData[[#This Row],[Pick]]&lt;=14,DraftData[[#This Row],[Win Shares]]&lt;10),"Yes","No")</f>
        <v>No</v>
      </c>
      <c r="Y313" s="2">
        <f>DraftData[[#This Row],[Win Shares]]/DraftData[[#This Row],[Pick]]</f>
        <v>1.0916666666666666</v>
      </c>
      <c r="Z313" s="2">
        <f>DraftData[[#This Row],[Win Shares]]-_xlfn.XLOOKUP(DraftData[[#This Row],[Pick]],'Lookup Tables'!$A$2:$A$31,'Lookup Tables'!$B$2:$B$31)</f>
        <v>-8.2166666666666668</v>
      </c>
    </row>
    <row r="314" spans="1:26">
      <c r="A314">
        <v>2015</v>
      </c>
      <c r="B314">
        <v>13</v>
      </c>
      <c r="C314" t="s">
        <v>86</v>
      </c>
      <c r="D314" t="s">
        <v>466</v>
      </c>
      <c r="E314" t="s">
        <v>144</v>
      </c>
      <c r="F314">
        <v>460</v>
      </c>
      <c r="G314">
        <v>15468</v>
      </c>
      <c r="H314">
        <v>10695</v>
      </c>
      <c r="I314">
        <v>1788</v>
      </c>
      <c r="J314">
        <v>2126</v>
      </c>
      <c r="K314">
        <v>0.45400000000000001</v>
      </c>
      <c r="L314">
        <v>0.35399999999999998</v>
      </c>
      <c r="M314">
        <v>0.86899999999999999</v>
      </c>
      <c r="N314">
        <v>27.2</v>
      </c>
      <c r="O314">
        <v>8.5000000000000006E-2</v>
      </c>
      <c r="P314">
        <v>0.2</v>
      </c>
      <c r="Q314">
        <v>8.6999999999999993</v>
      </c>
      <c r="R314">
        <v>33.6</v>
      </c>
      <c r="S314">
        <v>23.3</v>
      </c>
      <c r="T314">
        <v>3.9</v>
      </c>
      <c r="U314">
        <v>4.5999999999999996</v>
      </c>
      <c r="V314" t="str">
        <f>IF(DraftData[[#This Row],[Pick]]&lt;=5,"Top 5",
IF(DraftData[[#This Row],[Pick]]&lt;=14,"Lottery",
IF(DraftData[[#This Row],[Pick]]&lt;=20,"Mid First","Late First")))</f>
        <v>Lottery</v>
      </c>
      <c r="W314" t="str">
        <f>IF(DraftData[[#This Row],[Win Shares]]&gt;=80,"Star",
IF(DraftData[[#This Row],[Win Shares]]&gt;=30,"Starter",
IF(DraftData[[#This Row],[Win Shares]]&gt;=10,"Rotation","Minimal")))</f>
        <v>Rotation</v>
      </c>
      <c r="X314" t="str">
        <f>IF(AND(DraftData[[#This Row],[Pick]]&lt;=14,DraftData[[#This Row],[Win Shares]]&lt;10),"Yes","No")</f>
        <v>No</v>
      </c>
      <c r="Y314" s="2">
        <f>DraftData[[#This Row],[Win Shares]]/DraftData[[#This Row],[Pick]]</f>
        <v>2.0923076923076924</v>
      </c>
      <c r="Z314" s="2">
        <f>DraftData[[#This Row],[Win Shares]]-_xlfn.XLOOKUP(DraftData[[#This Row],[Pick]],'Lookup Tables'!$A$2:$A$31,'Lookup Tables'!$B$2:$B$31)</f>
        <v>7.8666666666666671</v>
      </c>
    </row>
    <row r="315" spans="1:26">
      <c r="A315">
        <v>2015</v>
      </c>
      <c r="B315">
        <v>14</v>
      </c>
      <c r="C315" t="s">
        <v>96</v>
      </c>
      <c r="D315" t="s">
        <v>467</v>
      </c>
      <c r="E315" t="s">
        <v>468</v>
      </c>
      <c r="F315">
        <v>261</v>
      </c>
      <c r="G315">
        <v>4531</v>
      </c>
      <c r="H315">
        <v>1924</v>
      </c>
      <c r="I315">
        <v>559</v>
      </c>
      <c r="J315">
        <v>767</v>
      </c>
      <c r="K315">
        <v>0.42099999999999999</v>
      </c>
      <c r="L315">
        <v>0.36499999999999999</v>
      </c>
      <c r="M315">
        <v>0.83499999999999996</v>
      </c>
      <c r="N315">
        <v>7.1</v>
      </c>
      <c r="O315">
        <v>7.4999999999999997E-2</v>
      </c>
      <c r="P315">
        <v>-0.6</v>
      </c>
      <c r="Q315">
        <v>1.6</v>
      </c>
      <c r="R315">
        <v>17.399999999999999</v>
      </c>
      <c r="S315">
        <v>7.4</v>
      </c>
      <c r="T315">
        <v>2.1</v>
      </c>
      <c r="U315">
        <v>2.9</v>
      </c>
      <c r="V315" t="str">
        <f>IF(DraftData[[#This Row],[Pick]]&lt;=5,"Top 5",
IF(DraftData[[#This Row],[Pick]]&lt;=14,"Lottery",
IF(DraftData[[#This Row],[Pick]]&lt;=20,"Mid First","Late First")))</f>
        <v>Lottery</v>
      </c>
      <c r="W315" t="str">
        <f>IF(DraftData[[#This Row],[Win Shares]]&gt;=80,"Star",
IF(DraftData[[#This Row],[Win Shares]]&gt;=30,"Starter",
IF(DraftData[[#This Row],[Win Shares]]&gt;=10,"Rotation","Minimal")))</f>
        <v>Minimal</v>
      </c>
      <c r="X315" t="str">
        <f>IF(AND(DraftData[[#This Row],[Pick]]&lt;=14,DraftData[[#This Row],[Win Shares]]&lt;10),"Yes","No")</f>
        <v>Yes</v>
      </c>
      <c r="Y315" s="2">
        <f>DraftData[[#This Row],[Win Shares]]/DraftData[[#This Row],[Pick]]</f>
        <v>0.50714285714285712</v>
      </c>
      <c r="Z315" s="2">
        <f>DraftData[[#This Row],[Win Shares]]-_xlfn.XLOOKUP(DraftData[[#This Row],[Pick]],'Lookup Tables'!$A$2:$A$31,'Lookup Tables'!$B$2:$B$31)</f>
        <v>-7.6499999999999986</v>
      </c>
    </row>
    <row r="316" spans="1:26">
      <c r="A316">
        <v>2015</v>
      </c>
      <c r="B316">
        <v>15</v>
      </c>
      <c r="C316" t="s">
        <v>39</v>
      </c>
      <c r="D316" t="s">
        <v>469</v>
      </c>
      <c r="E316" t="s">
        <v>107</v>
      </c>
      <c r="F316">
        <v>457</v>
      </c>
      <c r="G316">
        <v>11600</v>
      </c>
      <c r="H316">
        <v>5508</v>
      </c>
      <c r="I316">
        <v>1995</v>
      </c>
      <c r="J316">
        <v>461</v>
      </c>
      <c r="K316">
        <v>0.433</v>
      </c>
      <c r="L316">
        <v>0.32900000000000001</v>
      </c>
      <c r="M316">
        <v>0.754</v>
      </c>
      <c r="N316">
        <v>16.7</v>
      </c>
      <c r="O316">
        <v>6.9000000000000006E-2</v>
      </c>
      <c r="P316">
        <v>-1.8</v>
      </c>
      <c r="Q316">
        <v>0.4</v>
      </c>
      <c r="R316">
        <v>25.4</v>
      </c>
      <c r="S316">
        <v>12.1</v>
      </c>
      <c r="T316">
        <v>4.4000000000000004</v>
      </c>
      <c r="U316">
        <v>1</v>
      </c>
      <c r="V316" t="str">
        <f>IF(DraftData[[#This Row],[Pick]]&lt;=5,"Top 5",
IF(DraftData[[#This Row],[Pick]]&lt;=14,"Lottery",
IF(DraftData[[#This Row],[Pick]]&lt;=20,"Mid First","Late First")))</f>
        <v>Mid First</v>
      </c>
      <c r="W316" t="str">
        <f>IF(DraftData[[#This Row],[Win Shares]]&gt;=80,"Star",
IF(DraftData[[#This Row],[Win Shares]]&gt;=30,"Starter",
IF(DraftData[[#This Row],[Win Shares]]&gt;=10,"Rotation","Minimal")))</f>
        <v>Rotation</v>
      </c>
      <c r="X316" t="str">
        <f>IF(AND(DraftData[[#This Row],[Pick]]&lt;=14,DraftData[[#This Row],[Win Shares]]&lt;10),"Yes","No")</f>
        <v>No</v>
      </c>
      <c r="Y316" s="2">
        <f>DraftData[[#This Row],[Win Shares]]/DraftData[[#This Row],[Pick]]</f>
        <v>1.1133333333333333</v>
      </c>
      <c r="Z316" s="2">
        <f>DraftData[[#This Row],[Win Shares]]-_xlfn.XLOOKUP(DraftData[[#This Row],[Pick]],'Lookup Tables'!$A$2:$A$31,'Lookup Tables'!$B$2:$B$31)</f>
        <v>-9.0833333333333321</v>
      </c>
    </row>
    <row r="317" spans="1:26">
      <c r="A317">
        <v>2015</v>
      </c>
      <c r="B317">
        <v>16</v>
      </c>
      <c r="C317" t="s">
        <v>78</v>
      </c>
      <c r="D317" t="s">
        <v>470</v>
      </c>
      <c r="E317" t="s">
        <v>93</v>
      </c>
      <c r="F317">
        <v>455</v>
      </c>
      <c r="G317">
        <v>11701</v>
      </c>
      <c r="H317">
        <v>5584</v>
      </c>
      <c r="I317">
        <v>1770</v>
      </c>
      <c r="J317">
        <v>1400</v>
      </c>
      <c r="K317">
        <v>0.41299999999999998</v>
      </c>
      <c r="L317">
        <v>0.373</v>
      </c>
      <c r="M317">
        <v>0.81499999999999995</v>
      </c>
      <c r="N317">
        <v>21.6</v>
      </c>
      <c r="O317">
        <v>8.8999999999999996E-2</v>
      </c>
      <c r="P317">
        <v>0.4</v>
      </c>
      <c r="Q317">
        <v>7.2</v>
      </c>
      <c r="R317">
        <v>25.7</v>
      </c>
      <c r="S317">
        <v>12.3</v>
      </c>
      <c r="T317">
        <v>3.9</v>
      </c>
      <c r="U317">
        <v>3.1</v>
      </c>
      <c r="V317" t="str">
        <f>IF(DraftData[[#This Row],[Pick]]&lt;=5,"Top 5",
IF(DraftData[[#This Row],[Pick]]&lt;=14,"Lottery",
IF(DraftData[[#This Row],[Pick]]&lt;=20,"Mid First","Late First")))</f>
        <v>Mid First</v>
      </c>
      <c r="W317" t="str">
        <f>IF(DraftData[[#This Row],[Win Shares]]&gt;=80,"Star",
IF(DraftData[[#This Row],[Win Shares]]&gt;=30,"Starter",
IF(DraftData[[#This Row],[Win Shares]]&gt;=10,"Rotation","Minimal")))</f>
        <v>Rotation</v>
      </c>
      <c r="X317" t="str">
        <f>IF(AND(DraftData[[#This Row],[Pick]]&lt;=14,DraftData[[#This Row],[Win Shares]]&lt;10),"Yes","No")</f>
        <v>No</v>
      </c>
      <c r="Y317" s="2">
        <f>DraftData[[#This Row],[Win Shares]]/DraftData[[#This Row],[Pick]]</f>
        <v>1.35</v>
      </c>
      <c r="Z317" s="2">
        <f>DraftData[[#This Row],[Win Shares]]-_xlfn.XLOOKUP(DraftData[[#This Row],[Pick]],'Lookup Tables'!$A$2:$A$31,'Lookup Tables'!$B$2:$B$31)</f>
        <v>4.6166666666666671</v>
      </c>
    </row>
    <row r="318" spans="1:26">
      <c r="A318">
        <v>2015</v>
      </c>
      <c r="B318">
        <v>17</v>
      </c>
      <c r="C318" t="s">
        <v>36</v>
      </c>
      <c r="D318" t="s">
        <v>471</v>
      </c>
      <c r="E318" t="s">
        <v>387</v>
      </c>
      <c r="F318">
        <v>139</v>
      </c>
      <c r="G318">
        <v>1671</v>
      </c>
      <c r="H318">
        <v>423</v>
      </c>
      <c r="I318">
        <v>158</v>
      </c>
      <c r="J318">
        <v>75</v>
      </c>
      <c r="K318">
        <v>0.33700000000000002</v>
      </c>
      <c r="L318">
        <v>0.313</v>
      </c>
      <c r="M318">
        <v>0.69199999999999995</v>
      </c>
      <c r="N318">
        <v>-0.6</v>
      </c>
      <c r="O318">
        <v>-1.7000000000000001E-2</v>
      </c>
      <c r="P318">
        <v>-4.7</v>
      </c>
      <c r="Q318">
        <v>-1.2</v>
      </c>
      <c r="R318">
        <v>12</v>
      </c>
      <c r="S318">
        <v>3</v>
      </c>
      <c r="T318">
        <v>1.1000000000000001</v>
      </c>
      <c r="U318">
        <v>0.5</v>
      </c>
      <c r="V318" t="str">
        <f>IF(DraftData[[#This Row],[Pick]]&lt;=5,"Top 5",
IF(DraftData[[#This Row],[Pick]]&lt;=14,"Lottery",
IF(DraftData[[#This Row],[Pick]]&lt;=20,"Mid First","Late First")))</f>
        <v>Mid First</v>
      </c>
      <c r="W318" t="str">
        <f>IF(DraftData[[#This Row],[Win Shares]]&gt;=80,"Star",
IF(DraftData[[#This Row],[Win Shares]]&gt;=30,"Starter",
IF(DraftData[[#This Row],[Win Shares]]&gt;=10,"Rotation","Minimal")))</f>
        <v>Minimal</v>
      </c>
      <c r="X318" t="str">
        <f>IF(AND(DraftData[[#This Row],[Pick]]&lt;=14,DraftData[[#This Row],[Win Shares]]&lt;10),"Yes","No")</f>
        <v>No</v>
      </c>
      <c r="Y318" s="2">
        <f>DraftData[[#This Row],[Win Shares]]/DraftData[[#This Row],[Pick]]</f>
        <v>-3.5294117647058823E-2</v>
      </c>
      <c r="Z318" s="2">
        <f>DraftData[[#This Row],[Win Shares]]-_xlfn.XLOOKUP(DraftData[[#This Row],[Pick]],'Lookup Tables'!$A$2:$A$31,'Lookup Tables'!$B$2:$B$31)</f>
        <v>-17.916666666666668</v>
      </c>
    </row>
    <row r="319" spans="1:26">
      <c r="A319">
        <v>2015</v>
      </c>
      <c r="B319">
        <v>18</v>
      </c>
      <c r="C319" t="s">
        <v>94</v>
      </c>
      <c r="D319" t="s">
        <v>472</v>
      </c>
      <c r="E319" t="s">
        <v>198</v>
      </c>
      <c r="F319">
        <v>201</v>
      </c>
      <c r="G319">
        <v>3097</v>
      </c>
      <c r="H319">
        <v>1094</v>
      </c>
      <c r="I319">
        <v>607</v>
      </c>
      <c r="J319">
        <v>160</v>
      </c>
      <c r="K319">
        <v>0.47799999999999998</v>
      </c>
      <c r="L319">
        <v>0.28799999999999998</v>
      </c>
      <c r="M319">
        <v>0.60599999999999998</v>
      </c>
      <c r="N319">
        <v>5.4</v>
      </c>
      <c r="O319">
        <v>8.3000000000000004E-2</v>
      </c>
      <c r="P319">
        <v>-1.4</v>
      </c>
      <c r="Q319">
        <v>0.5</v>
      </c>
      <c r="R319">
        <v>15.4</v>
      </c>
      <c r="S319">
        <v>5.4</v>
      </c>
      <c r="T319">
        <v>3</v>
      </c>
      <c r="U319">
        <v>0.8</v>
      </c>
      <c r="V319" t="str">
        <f>IF(DraftData[[#This Row],[Pick]]&lt;=5,"Top 5",
IF(DraftData[[#This Row],[Pick]]&lt;=14,"Lottery",
IF(DraftData[[#This Row],[Pick]]&lt;=20,"Mid First","Late First")))</f>
        <v>Mid First</v>
      </c>
      <c r="W319" t="str">
        <f>IF(DraftData[[#This Row],[Win Shares]]&gt;=80,"Star",
IF(DraftData[[#This Row],[Win Shares]]&gt;=30,"Starter",
IF(DraftData[[#This Row],[Win Shares]]&gt;=10,"Rotation","Minimal")))</f>
        <v>Minimal</v>
      </c>
      <c r="X319" t="str">
        <f>IF(AND(DraftData[[#This Row],[Pick]]&lt;=14,DraftData[[#This Row],[Win Shares]]&lt;10),"Yes","No")</f>
        <v>No</v>
      </c>
      <c r="Y319" s="2">
        <f>DraftData[[#This Row],[Win Shares]]/DraftData[[#This Row],[Pick]]</f>
        <v>0.30000000000000004</v>
      </c>
      <c r="Z319" s="2">
        <f>DraftData[[#This Row],[Win Shares]]-_xlfn.XLOOKUP(DraftData[[#This Row],[Pick]],'Lookup Tables'!$A$2:$A$31,'Lookup Tables'!$B$2:$B$31)</f>
        <v>-11.908333333333333</v>
      </c>
    </row>
    <row r="320" spans="1:26">
      <c r="A320">
        <v>2015</v>
      </c>
      <c r="B320">
        <v>19</v>
      </c>
      <c r="C320" t="s">
        <v>137</v>
      </c>
      <c r="D320" t="s">
        <v>473</v>
      </c>
      <c r="E320" t="s">
        <v>474</v>
      </c>
      <c r="F320">
        <v>279</v>
      </c>
      <c r="G320">
        <v>4998</v>
      </c>
      <c r="H320">
        <v>1692</v>
      </c>
      <c r="I320">
        <v>530</v>
      </c>
      <c r="J320">
        <v>805</v>
      </c>
      <c r="K320">
        <v>0.41099999999999998</v>
      </c>
      <c r="L320">
        <v>0.32300000000000001</v>
      </c>
      <c r="M320">
        <v>0.77</v>
      </c>
      <c r="N320">
        <v>8.3000000000000007</v>
      </c>
      <c r="O320">
        <v>0.08</v>
      </c>
      <c r="P320">
        <v>-1.6</v>
      </c>
      <c r="Q320">
        <v>0.5</v>
      </c>
      <c r="R320">
        <v>17.899999999999999</v>
      </c>
      <c r="S320">
        <v>6.1</v>
      </c>
      <c r="T320">
        <v>1.9</v>
      </c>
      <c r="U320">
        <v>2.9</v>
      </c>
      <c r="V320" t="str">
        <f>IF(DraftData[[#This Row],[Pick]]&lt;=5,"Top 5",
IF(DraftData[[#This Row],[Pick]]&lt;=14,"Lottery",
IF(DraftData[[#This Row],[Pick]]&lt;=20,"Mid First","Late First")))</f>
        <v>Mid First</v>
      </c>
      <c r="W320" t="str">
        <f>IF(DraftData[[#This Row],[Win Shares]]&gt;=80,"Star",
IF(DraftData[[#This Row],[Win Shares]]&gt;=30,"Starter",
IF(DraftData[[#This Row],[Win Shares]]&gt;=10,"Rotation","Minimal")))</f>
        <v>Minimal</v>
      </c>
      <c r="X320" t="str">
        <f>IF(AND(DraftData[[#This Row],[Pick]]&lt;=14,DraftData[[#This Row],[Win Shares]]&lt;10),"Yes","No")</f>
        <v>No</v>
      </c>
      <c r="Y320" s="2">
        <f>DraftData[[#This Row],[Win Shares]]/DraftData[[#This Row],[Pick]]</f>
        <v>0.43684210526315792</v>
      </c>
      <c r="Z320" s="2">
        <f>DraftData[[#This Row],[Win Shares]]-_xlfn.XLOOKUP(DraftData[[#This Row],[Pick]],'Lookup Tables'!$A$2:$A$31,'Lookup Tables'!$B$2:$B$31)</f>
        <v>-9.2750000000000021</v>
      </c>
    </row>
    <row r="321" spans="1:26">
      <c r="A321">
        <v>2015</v>
      </c>
      <c r="B321">
        <v>20</v>
      </c>
      <c r="C321" t="s">
        <v>52</v>
      </c>
      <c r="D321" t="s">
        <v>475</v>
      </c>
      <c r="E321" t="s">
        <v>38</v>
      </c>
      <c r="F321">
        <v>387</v>
      </c>
      <c r="G321">
        <v>8088</v>
      </c>
      <c r="H321">
        <v>2840</v>
      </c>
      <c r="I321">
        <v>1251</v>
      </c>
      <c r="J321">
        <v>1189</v>
      </c>
      <c r="K321">
        <v>0.45200000000000001</v>
      </c>
      <c r="L321">
        <v>0.35299999999999998</v>
      </c>
      <c r="M321">
        <v>0.79500000000000004</v>
      </c>
      <c r="N321">
        <v>21.3</v>
      </c>
      <c r="O321">
        <v>0.126</v>
      </c>
      <c r="P321">
        <v>2</v>
      </c>
      <c r="Q321">
        <v>8.1999999999999993</v>
      </c>
      <c r="R321">
        <v>20.9</v>
      </c>
      <c r="S321">
        <v>7.3</v>
      </c>
      <c r="T321">
        <v>3.2</v>
      </c>
      <c r="U321">
        <v>3.1</v>
      </c>
      <c r="V321" t="str">
        <f>IF(DraftData[[#This Row],[Pick]]&lt;=5,"Top 5",
IF(DraftData[[#This Row],[Pick]]&lt;=14,"Lottery",
IF(DraftData[[#This Row],[Pick]]&lt;=20,"Mid First","Late First")))</f>
        <v>Mid First</v>
      </c>
      <c r="W321" t="str">
        <f>IF(DraftData[[#This Row],[Win Shares]]&gt;=80,"Star",
IF(DraftData[[#This Row],[Win Shares]]&gt;=30,"Starter",
IF(DraftData[[#This Row],[Win Shares]]&gt;=10,"Rotation","Minimal")))</f>
        <v>Rotation</v>
      </c>
      <c r="X321" t="str">
        <f>IF(AND(DraftData[[#This Row],[Pick]]&lt;=14,DraftData[[#This Row],[Win Shares]]&lt;10),"Yes","No")</f>
        <v>No</v>
      </c>
      <c r="Y321" s="2">
        <f>DraftData[[#This Row],[Win Shares]]/DraftData[[#This Row],[Pick]]</f>
        <v>1.0649999999999999</v>
      </c>
      <c r="Z321" s="2">
        <f>DraftData[[#This Row],[Win Shares]]-_xlfn.XLOOKUP(DraftData[[#This Row],[Pick]],'Lookup Tables'!$A$2:$A$31,'Lookup Tables'!$B$2:$B$31)</f>
        <v>10.908333333333333</v>
      </c>
    </row>
    <row r="322" spans="1:26">
      <c r="A322">
        <v>2015</v>
      </c>
      <c r="B322">
        <v>21</v>
      </c>
      <c r="C322" t="s">
        <v>154</v>
      </c>
      <c r="D322" t="s">
        <v>476</v>
      </c>
      <c r="E322" t="s">
        <v>477</v>
      </c>
      <c r="F322">
        <v>232</v>
      </c>
      <c r="G322">
        <v>3041</v>
      </c>
      <c r="H322">
        <v>1203</v>
      </c>
      <c r="I322">
        <v>585</v>
      </c>
      <c r="J322">
        <v>160</v>
      </c>
      <c r="K322">
        <v>0.41199999999999998</v>
      </c>
      <c r="L322">
        <v>0.29299999999999998</v>
      </c>
      <c r="M322">
        <v>0.77600000000000002</v>
      </c>
      <c r="N322">
        <v>4.7</v>
      </c>
      <c r="O322">
        <v>7.3999999999999996E-2</v>
      </c>
      <c r="P322">
        <v>-1.4</v>
      </c>
      <c r="Q322">
        <v>0.4</v>
      </c>
      <c r="R322">
        <v>13.1</v>
      </c>
      <c r="S322">
        <v>5.2</v>
      </c>
      <c r="T322">
        <v>2.5</v>
      </c>
      <c r="U322">
        <v>0.7</v>
      </c>
      <c r="V322" t="str">
        <f>IF(DraftData[[#This Row],[Pick]]&lt;=5,"Top 5",
IF(DraftData[[#This Row],[Pick]]&lt;=14,"Lottery",
IF(DraftData[[#This Row],[Pick]]&lt;=20,"Mid First","Late First")))</f>
        <v>Late First</v>
      </c>
      <c r="W322" t="str">
        <f>IF(DraftData[[#This Row],[Win Shares]]&gt;=80,"Star",
IF(DraftData[[#This Row],[Win Shares]]&gt;=30,"Starter",
IF(DraftData[[#This Row],[Win Shares]]&gt;=10,"Rotation","Minimal")))</f>
        <v>Minimal</v>
      </c>
      <c r="X322" t="str">
        <f>IF(AND(DraftData[[#This Row],[Pick]]&lt;=14,DraftData[[#This Row],[Win Shares]]&lt;10),"Yes","No")</f>
        <v>No</v>
      </c>
      <c r="Y322" s="2">
        <f>DraftData[[#This Row],[Win Shares]]/DraftData[[#This Row],[Pick]]</f>
        <v>0.22380952380952382</v>
      </c>
      <c r="Z322" s="2">
        <f>DraftData[[#This Row],[Win Shares]]-_xlfn.XLOOKUP(DraftData[[#This Row],[Pick]],'Lookup Tables'!$A$2:$A$31,'Lookup Tables'!$B$2:$B$31)</f>
        <v>-15.800000000000004</v>
      </c>
    </row>
    <row r="323" spans="1:26">
      <c r="A323">
        <v>2015</v>
      </c>
      <c r="B323">
        <v>22</v>
      </c>
      <c r="C323" t="s">
        <v>111</v>
      </c>
      <c r="D323" t="s">
        <v>478</v>
      </c>
      <c r="E323" t="s">
        <v>132</v>
      </c>
      <c r="F323">
        <v>432</v>
      </c>
      <c r="G323">
        <v>9277</v>
      </c>
      <c r="H323">
        <v>4751</v>
      </c>
      <c r="I323">
        <v>2803</v>
      </c>
      <c r="J323">
        <v>517</v>
      </c>
      <c r="K323">
        <v>0.47</v>
      </c>
      <c r="L323">
        <v>0.38400000000000001</v>
      </c>
      <c r="M323">
        <v>0.752</v>
      </c>
      <c r="N323">
        <v>19.899999999999999</v>
      </c>
      <c r="O323">
        <v>0.10299999999999999</v>
      </c>
      <c r="P323">
        <v>-0.6</v>
      </c>
      <c r="Q323">
        <v>3.2</v>
      </c>
      <c r="R323">
        <v>21.5</v>
      </c>
      <c r="S323">
        <v>11</v>
      </c>
      <c r="T323">
        <v>6.5</v>
      </c>
      <c r="U323">
        <v>1.2</v>
      </c>
      <c r="V323" t="str">
        <f>IF(DraftData[[#This Row],[Pick]]&lt;=5,"Top 5",
IF(DraftData[[#This Row],[Pick]]&lt;=14,"Lottery",
IF(DraftData[[#This Row],[Pick]]&lt;=20,"Mid First","Late First")))</f>
        <v>Late First</v>
      </c>
      <c r="W323" t="str">
        <f>IF(DraftData[[#This Row],[Win Shares]]&gt;=80,"Star",
IF(DraftData[[#This Row],[Win Shares]]&gt;=30,"Starter",
IF(DraftData[[#This Row],[Win Shares]]&gt;=10,"Rotation","Minimal")))</f>
        <v>Rotation</v>
      </c>
      <c r="X323" t="str">
        <f>IF(AND(DraftData[[#This Row],[Pick]]&lt;=14,DraftData[[#This Row],[Win Shares]]&lt;10),"Yes","No")</f>
        <v>No</v>
      </c>
      <c r="Y323" s="2">
        <f>DraftData[[#This Row],[Win Shares]]/DraftData[[#This Row],[Pick]]</f>
        <v>0.90454545454545443</v>
      </c>
      <c r="Z323" s="2">
        <f>DraftData[[#This Row],[Win Shares]]-_xlfn.XLOOKUP(DraftData[[#This Row],[Pick]],'Lookup Tables'!$A$2:$A$31,'Lookup Tables'!$B$2:$B$31)</f>
        <v>1.4166666666666607</v>
      </c>
    </row>
    <row r="324" spans="1:26">
      <c r="A324">
        <v>2015</v>
      </c>
      <c r="B324">
        <v>23</v>
      </c>
      <c r="C324" t="s">
        <v>50</v>
      </c>
      <c r="D324" t="s">
        <v>479</v>
      </c>
      <c r="E324" t="s">
        <v>57</v>
      </c>
      <c r="F324">
        <v>305</v>
      </c>
      <c r="G324">
        <v>6759</v>
      </c>
      <c r="H324">
        <v>2760</v>
      </c>
      <c r="I324">
        <v>1684</v>
      </c>
      <c r="J324">
        <v>579</v>
      </c>
      <c r="K324">
        <v>0.44900000000000001</v>
      </c>
      <c r="L324">
        <v>0.21199999999999999</v>
      </c>
      <c r="M324">
        <v>0.73499999999999999</v>
      </c>
      <c r="N324">
        <v>12.9</v>
      </c>
      <c r="O324">
        <v>9.0999999999999998E-2</v>
      </c>
      <c r="P324">
        <v>-0.7</v>
      </c>
      <c r="Q324">
        <v>2.2999999999999998</v>
      </c>
      <c r="R324">
        <v>22.2</v>
      </c>
      <c r="S324">
        <v>9</v>
      </c>
      <c r="T324">
        <v>5.5</v>
      </c>
      <c r="U324">
        <v>1.9</v>
      </c>
      <c r="V324" t="str">
        <f>IF(DraftData[[#This Row],[Pick]]&lt;=5,"Top 5",
IF(DraftData[[#This Row],[Pick]]&lt;=14,"Lottery",
IF(DraftData[[#This Row],[Pick]]&lt;=20,"Mid First","Late First")))</f>
        <v>Late First</v>
      </c>
      <c r="W324" t="str">
        <f>IF(DraftData[[#This Row],[Win Shares]]&gt;=80,"Star",
IF(DraftData[[#This Row],[Win Shares]]&gt;=30,"Starter",
IF(DraftData[[#This Row],[Win Shares]]&gt;=10,"Rotation","Minimal")))</f>
        <v>Rotation</v>
      </c>
      <c r="X324" t="str">
        <f>IF(AND(DraftData[[#This Row],[Pick]]&lt;=14,DraftData[[#This Row],[Win Shares]]&lt;10),"Yes","No")</f>
        <v>No</v>
      </c>
      <c r="Y324" s="2">
        <f>DraftData[[#This Row],[Win Shares]]/DraftData[[#This Row],[Pick]]</f>
        <v>0.56086956521739129</v>
      </c>
      <c r="Z324" s="2">
        <f>DraftData[[#This Row],[Win Shares]]-_xlfn.XLOOKUP(DraftData[[#This Row],[Pick]],'Lookup Tables'!$A$2:$A$31,'Lookup Tables'!$B$2:$B$31)</f>
        <v>-3.7416666666666654</v>
      </c>
    </row>
    <row r="325" spans="1:26">
      <c r="A325">
        <v>2015</v>
      </c>
      <c r="B325">
        <v>24</v>
      </c>
      <c r="C325" t="s">
        <v>148</v>
      </c>
      <c r="D325" t="s">
        <v>480</v>
      </c>
      <c r="E325" t="s">
        <v>119</v>
      </c>
      <c r="F325">
        <v>435</v>
      </c>
      <c r="G325">
        <v>7926</v>
      </c>
      <c r="H325">
        <v>2604</v>
      </c>
      <c r="I325">
        <v>754</v>
      </c>
      <c r="J325">
        <v>1589</v>
      </c>
      <c r="K325">
        <v>0.435</v>
      </c>
      <c r="L325">
        <v>0.34300000000000003</v>
      </c>
      <c r="M325">
        <v>0.82399999999999995</v>
      </c>
      <c r="N325">
        <v>17.7</v>
      </c>
      <c r="O325">
        <v>0.107</v>
      </c>
      <c r="P325">
        <v>0.3</v>
      </c>
      <c r="Q325">
        <v>4.5999999999999996</v>
      </c>
      <c r="R325">
        <v>18.2</v>
      </c>
      <c r="S325">
        <v>6</v>
      </c>
      <c r="T325">
        <v>1.7</v>
      </c>
      <c r="U325">
        <v>3.7</v>
      </c>
      <c r="V325" t="str">
        <f>IF(DraftData[[#This Row],[Pick]]&lt;=5,"Top 5",
IF(DraftData[[#This Row],[Pick]]&lt;=14,"Lottery",
IF(DraftData[[#This Row],[Pick]]&lt;=20,"Mid First","Late First")))</f>
        <v>Late First</v>
      </c>
      <c r="W325" t="str">
        <f>IF(DraftData[[#This Row],[Win Shares]]&gt;=80,"Star",
IF(DraftData[[#This Row],[Win Shares]]&gt;=30,"Starter",
IF(DraftData[[#This Row],[Win Shares]]&gt;=10,"Rotation","Minimal")))</f>
        <v>Rotation</v>
      </c>
      <c r="X325" t="str">
        <f>IF(AND(DraftData[[#This Row],[Pick]]&lt;=14,DraftData[[#This Row],[Win Shares]]&lt;10),"Yes","No")</f>
        <v>No</v>
      </c>
      <c r="Y325" s="2">
        <f>DraftData[[#This Row],[Win Shares]]/DraftData[[#This Row],[Pick]]</f>
        <v>0.73749999999999993</v>
      </c>
      <c r="Z325" s="2">
        <f>DraftData[[#This Row],[Win Shares]]-_xlfn.XLOOKUP(DraftData[[#This Row],[Pick]],'Lookup Tables'!$A$2:$A$31,'Lookup Tables'!$B$2:$B$31)</f>
        <v>-6.8000000000000007</v>
      </c>
    </row>
    <row r="326" spans="1:26">
      <c r="A326">
        <v>2015</v>
      </c>
      <c r="B326">
        <v>25</v>
      </c>
      <c r="C326" t="s">
        <v>80</v>
      </c>
      <c r="D326" t="s">
        <v>481</v>
      </c>
      <c r="E326" t="s">
        <v>117</v>
      </c>
      <c r="F326">
        <v>184</v>
      </c>
      <c r="G326">
        <v>2927</v>
      </c>
      <c r="H326">
        <v>998</v>
      </c>
      <c r="I326">
        <v>639</v>
      </c>
      <c r="J326">
        <v>114</v>
      </c>
      <c r="K326">
        <v>0.434</v>
      </c>
      <c r="L326">
        <v>0.34599999999999997</v>
      </c>
      <c r="M326">
        <v>0.76600000000000001</v>
      </c>
      <c r="N326">
        <v>3.2</v>
      </c>
      <c r="O326">
        <v>5.2999999999999999E-2</v>
      </c>
      <c r="P326">
        <v>-4.3</v>
      </c>
      <c r="Q326">
        <v>-1.7</v>
      </c>
      <c r="R326">
        <v>15.9</v>
      </c>
      <c r="S326">
        <v>5.4</v>
      </c>
      <c r="T326">
        <v>3.5</v>
      </c>
      <c r="U326">
        <v>0.6</v>
      </c>
      <c r="V326" t="str">
        <f>IF(DraftData[[#This Row],[Pick]]&lt;=5,"Top 5",
IF(DraftData[[#This Row],[Pick]]&lt;=14,"Lottery",
IF(DraftData[[#This Row],[Pick]]&lt;=20,"Mid First","Late First")))</f>
        <v>Late First</v>
      </c>
      <c r="W326" t="str">
        <f>IF(DraftData[[#This Row],[Win Shares]]&gt;=80,"Star",
IF(DraftData[[#This Row],[Win Shares]]&gt;=30,"Starter",
IF(DraftData[[#This Row],[Win Shares]]&gt;=10,"Rotation","Minimal")))</f>
        <v>Minimal</v>
      </c>
      <c r="X326" t="str">
        <f>IF(AND(DraftData[[#This Row],[Pick]]&lt;=14,DraftData[[#This Row],[Win Shares]]&lt;10),"Yes","No")</f>
        <v>No</v>
      </c>
      <c r="Y326" s="2">
        <f>DraftData[[#This Row],[Win Shares]]/DraftData[[#This Row],[Pick]]</f>
        <v>0.128</v>
      </c>
      <c r="Z326" s="2">
        <f>DraftData[[#This Row],[Win Shares]]-_xlfn.XLOOKUP(DraftData[[#This Row],[Pick]],'Lookup Tables'!$A$2:$A$31,'Lookup Tables'!$B$2:$B$31)</f>
        <v>-9.6999999999999993</v>
      </c>
    </row>
    <row r="327" spans="1:26">
      <c r="A327">
        <v>2015</v>
      </c>
      <c r="B327">
        <v>26</v>
      </c>
      <c r="C327" t="s">
        <v>103</v>
      </c>
      <c r="D327" t="s">
        <v>482</v>
      </c>
      <c r="V327" t="str">
        <f>IF(DraftData[[#This Row],[Pick]]&lt;=5,"Top 5",
IF(DraftData[[#This Row],[Pick]]&lt;=14,"Lottery",
IF(DraftData[[#This Row],[Pick]]&lt;=20,"Mid First","Late First")))</f>
        <v>Late First</v>
      </c>
      <c r="W327" t="str">
        <f>IF(DraftData[[#This Row],[Win Shares]]&gt;=80,"Star",
IF(DraftData[[#This Row],[Win Shares]]&gt;=30,"Starter",
IF(DraftData[[#This Row],[Win Shares]]&gt;=10,"Rotation","Minimal")))</f>
        <v>Minimal</v>
      </c>
      <c r="X327" t="str">
        <f>IF(AND(DraftData[[#This Row],[Pick]]&lt;=14,DraftData[[#This Row],[Win Shares]]&lt;10),"Yes","No")</f>
        <v>No</v>
      </c>
      <c r="Y327" s="2">
        <f>DraftData[[#This Row],[Win Shares]]/DraftData[[#This Row],[Pick]]</f>
        <v>0</v>
      </c>
      <c r="Z327" s="2">
        <f>DraftData[[#This Row],[Win Shares]]-_xlfn.XLOOKUP(DraftData[[#This Row],[Pick]],'Lookup Tables'!$A$2:$A$31,'Lookup Tables'!$B$2:$B$31)</f>
        <v>-20.400000000000002</v>
      </c>
    </row>
    <row r="328" spans="1:26">
      <c r="A328">
        <v>2015</v>
      </c>
      <c r="B328">
        <v>27</v>
      </c>
      <c r="C328" t="s">
        <v>61</v>
      </c>
      <c r="D328" t="s">
        <v>483</v>
      </c>
      <c r="E328" t="s">
        <v>484</v>
      </c>
      <c r="F328">
        <v>387</v>
      </c>
      <c r="G328">
        <v>9345</v>
      </c>
      <c r="H328">
        <v>3144</v>
      </c>
      <c r="I328">
        <v>2538</v>
      </c>
      <c r="J328">
        <v>739</v>
      </c>
      <c r="K328">
        <v>0.52800000000000002</v>
      </c>
      <c r="L328">
        <v>0.33</v>
      </c>
      <c r="M328">
        <v>0.68400000000000005</v>
      </c>
      <c r="N328">
        <v>24.3</v>
      </c>
      <c r="O328">
        <v>0.125</v>
      </c>
      <c r="P328">
        <v>1.1000000000000001</v>
      </c>
      <c r="Q328">
        <v>7.3</v>
      </c>
      <c r="R328">
        <v>24.1</v>
      </c>
      <c r="S328">
        <v>8.1</v>
      </c>
      <c r="T328">
        <v>6.6</v>
      </c>
      <c r="U328">
        <v>1.9</v>
      </c>
      <c r="V328" t="str">
        <f>IF(DraftData[[#This Row],[Pick]]&lt;=5,"Top 5",
IF(DraftData[[#This Row],[Pick]]&lt;=14,"Lottery",
IF(DraftData[[#This Row],[Pick]]&lt;=20,"Mid First","Late First")))</f>
        <v>Late First</v>
      </c>
      <c r="W328" t="str">
        <f>IF(DraftData[[#This Row],[Win Shares]]&gt;=80,"Star",
IF(DraftData[[#This Row],[Win Shares]]&gt;=30,"Starter",
IF(DraftData[[#This Row],[Win Shares]]&gt;=10,"Rotation","Minimal")))</f>
        <v>Rotation</v>
      </c>
      <c r="X328" t="str">
        <f>IF(AND(DraftData[[#This Row],[Pick]]&lt;=14,DraftData[[#This Row],[Win Shares]]&lt;10),"Yes","No")</f>
        <v>No</v>
      </c>
      <c r="Y328" s="2">
        <f>DraftData[[#This Row],[Win Shares]]/DraftData[[#This Row],[Pick]]</f>
        <v>0.9</v>
      </c>
      <c r="Z328" s="2">
        <f>DraftData[[#This Row],[Win Shares]]-_xlfn.XLOOKUP(DraftData[[#This Row],[Pick]],'Lookup Tables'!$A$2:$A$31,'Lookup Tables'!$B$2:$B$31)</f>
        <v>3.1916666666666664</v>
      </c>
    </row>
    <row r="329" spans="1:26">
      <c r="A329">
        <v>2015</v>
      </c>
      <c r="B329">
        <v>28</v>
      </c>
      <c r="C329" t="s">
        <v>78</v>
      </c>
      <c r="D329" t="s">
        <v>485</v>
      </c>
      <c r="E329" t="s">
        <v>486</v>
      </c>
      <c r="F329">
        <v>45</v>
      </c>
      <c r="G329">
        <v>395</v>
      </c>
      <c r="H329">
        <v>133</v>
      </c>
      <c r="I329">
        <v>46</v>
      </c>
      <c r="J329">
        <v>19</v>
      </c>
      <c r="K329">
        <v>0.371</v>
      </c>
      <c r="L329">
        <v>0.29499999999999998</v>
      </c>
      <c r="M329">
        <v>0.81799999999999995</v>
      </c>
      <c r="N329">
        <v>0.4</v>
      </c>
      <c r="O329">
        <v>5.0999999999999997E-2</v>
      </c>
      <c r="P329">
        <v>-2</v>
      </c>
      <c r="Q329">
        <v>0</v>
      </c>
      <c r="R329">
        <v>8.8000000000000007</v>
      </c>
      <c r="S329">
        <v>3</v>
      </c>
      <c r="T329">
        <v>1</v>
      </c>
      <c r="U329">
        <v>0.4</v>
      </c>
      <c r="V329" t="str">
        <f>IF(DraftData[[#This Row],[Pick]]&lt;=5,"Top 5",
IF(DraftData[[#This Row],[Pick]]&lt;=14,"Lottery",
IF(DraftData[[#This Row],[Pick]]&lt;=20,"Mid First","Late First")))</f>
        <v>Late First</v>
      </c>
      <c r="W329" t="str">
        <f>IF(DraftData[[#This Row],[Win Shares]]&gt;=80,"Star",
IF(DraftData[[#This Row],[Win Shares]]&gt;=30,"Starter",
IF(DraftData[[#This Row],[Win Shares]]&gt;=10,"Rotation","Minimal")))</f>
        <v>Minimal</v>
      </c>
      <c r="X329" t="str">
        <f>IF(AND(DraftData[[#This Row],[Pick]]&lt;=14,DraftData[[#This Row],[Win Shares]]&lt;10),"Yes","No")</f>
        <v>No</v>
      </c>
      <c r="Y329" s="2">
        <f>DraftData[[#This Row],[Win Shares]]/DraftData[[#This Row],[Pick]]</f>
        <v>1.4285714285714287E-2</v>
      </c>
      <c r="Z329" s="2">
        <f>DraftData[[#This Row],[Win Shares]]-_xlfn.XLOOKUP(DraftData[[#This Row],[Pick]],'Lookup Tables'!$A$2:$A$31,'Lookup Tables'!$B$2:$B$31)</f>
        <v>-8.245454545454546</v>
      </c>
    </row>
    <row r="330" spans="1:26">
      <c r="A330">
        <v>2015</v>
      </c>
      <c r="B330">
        <v>29</v>
      </c>
      <c r="C330" t="s">
        <v>70</v>
      </c>
      <c r="D330" t="s">
        <v>487</v>
      </c>
      <c r="E330" t="s">
        <v>82</v>
      </c>
      <c r="F330">
        <v>59</v>
      </c>
      <c r="G330">
        <v>532</v>
      </c>
      <c r="H330">
        <v>194</v>
      </c>
      <c r="I330">
        <v>112</v>
      </c>
      <c r="J330">
        <v>15</v>
      </c>
      <c r="K330">
        <v>0.42599999999999999</v>
      </c>
      <c r="L330">
        <v>0.30599999999999999</v>
      </c>
      <c r="M330">
        <v>0.54800000000000004</v>
      </c>
      <c r="N330">
        <v>0.6</v>
      </c>
      <c r="O330">
        <v>5.3999999999999999E-2</v>
      </c>
      <c r="P330">
        <v>-2.5</v>
      </c>
      <c r="Q330">
        <v>-0.1</v>
      </c>
      <c r="R330">
        <v>9</v>
      </c>
      <c r="S330">
        <v>3.3</v>
      </c>
      <c r="T330">
        <v>1.9</v>
      </c>
      <c r="U330">
        <v>0.3</v>
      </c>
      <c r="V330" t="str">
        <f>IF(DraftData[[#This Row],[Pick]]&lt;=5,"Top 5",
IF(DraftData[[#This Row],[Pick]]&lt;=14,"Lottery",
IF(DraftData[[#This Row],[Pick]]&lt;=20,"Mid First","Late First")))</f>
        <v>Late First</v>
      </c>
      <c r="W330" t="str">
        <f>IF(DraftData[[#This Row],[Win Shares]]&gt;=80,"Star",
IF(DraftData[[#This Row],[Win Shares]]&gt;=30,"Starter",
IF(DraftData[[#This Row],[Win Shares]]&gt;=10,"Rotation","Minimal")))</f>
        <v>Minimal</v>
      </c>
      <c r="X330" t="str">
        <f>IF(AND(DraftData[[#This Row],[Pick]]&lt;=14,DraftData[[#This Row],[Win Shares]]&lt;10),"Yes","No")</f>
        <v>No</v>
      </c>
      <c r="Y330" s="2">
        <f>DraftData[[#This Row],[Win Shares]]/DraftData[[#This Row],[Pick]]</f>
        <v>2.0689655172413793E-2</v>
      </c>
      <c r="Z330" s="2">
        <f>DraftData[[#This Row],[Win Shares]]-_xlfn.XLOOKUP(DraftData[[#This Row],[Pick]],'Lookup Tables'!$A$2:$A$31,'Lookup Tables'!$B$2:$B$31)</f>
        <v>-4.4666666666666677</v>
      </c>
    </row>
    <row r="331" spans="1:26">
      <c r="A331">
        <v>2015</v>
      </c>
      <c r="B331">
        <v>30</v>
      </c>
      <c r="C331" t="s">
        <v>58</v>
      </c>
      <c r="D331" t="s">
        <v>488</v>
      </c>
      <c r="E331" t="s">
        <v>152</v>
      </c>
      <c r="F331">
        <v>344</v>
      </c>
      <c r="G331">
        <v>5545</v>
      </c>
      <c r="H331">
        <v>1603</v>
      </c>
      <c r="I331">
        <v>1600</v>
      </c>
      <c r="J331">
        <v>436</v>
      </c>
      <c r="K331">
        <v>0.56200000000000006</v>
      </c>
      <c r="L331">
        <v>0.17199999999999999</v>
      </c>
      <c r="M331">
        <v>0.61499999999999999</v>
      </c>
      <c r="N331">
        <v>18.5</v>
      </c>
      <c r="O331">
        <v>0.16</v>
      </c>
      <c r="P331">
        <v>-0.5</v>
      </c>
      <c r="Q331">
        <v>2.1</v>
      </c>
      <c r="R331">
        <v>16.100000000000001</v>
      </c>
      <c r="S331">
        <v>4.7</v>
      </c>
      <c r="T331">
        <v>4.7</v>
      </c>
      <c r="U331">
        <v>1.3</v>
      </c>
      <c r="V331" t="str">
        <f>IF(DraftData[[#This Row],[Pick]]&lt;=5,"Top 5",
IF(DraftData[[#This Row],[Pick]]&lt;=14,"Lottery",
IF(DraftData[[#This Row],[Pick]]&lt;=20,"Mid First","Late First")))</f>
        <v>Late First</v>
      </c>
      <c r="W331" t="str">
        <f>IF(DraftData[[#This Row],[Win Shares]]&gt;=80,"Star",
IF(DraftData[[#This Row],[Win Shares]]&gt;=30,"Starter",
IF(DraftData[[#This Row],[Win Shares]]&gt;=10,"Rotation","Minimal")))</f>
        <v>Rotation</v>
      </c>
      <c r="X331" t="str">
        <f>IF(AND(DraftData[[#This Row],[Pick]]&lt;=14,DraftData[[#This Row],[Win Shares]]&lt;10),"Yes","No")</f>
        <v>No</v>
      </c>
      <c r="Y331" s="2">
        <f>DraftData[[#This Row],[Win Shares]]/DraftData[[#This Row],[Pick]]</f>
        <v>0.6166666666666667</v>
      </c>
      <c r="Z331" s="2">
        <f>DraftData[[#This Row],[Win Shares]]-_xlfn.XLOOKUP(DraftData[[#This Row],[Pick]],'Lookup Tables'!$A$2:$A$31,'Lookup Tables'!$B$2:$B$31)</f>
        <v>-2.2181818181818151</v>
      </c>
    </row>
    <row r="332" spans="1:26">
      <c r="A332">
        <v>2016</v>
      </c>
      <c r="B332">
        <v>1</v>
      </c>
      <c r="C332" t="s">
        <v>129</v>
      </c>
      <c r="D332" t="s">
        <v>489</v>
      </c>
      <c r="E332" t="s">
        <v>117</v>
      </c>
      <c r="F332">
        <v>275</v>
      </c>
      <c r="G332">
        <v>9326</v>
      </c>
      <c r="H332">
        <v>4382</v>
      </c>
      <c r="I332">
        <v>2217</v>
      </c>
      <c r="J332">
        <v>2127</v>
      </c>
      <c r="K332">
        <v>0.56000000000000005</v>
      </c>
      <c r="L332">
        <v>0.14699999999999999</v>
      </c>
      <c r="M332">
        <v>0.59699999999999998</v>
      </c>
      <c r="N332">
        <v>30.4</v>
      </c>
      <c r="O332">
        <v>0.156</v>
      </c>
      <c r="P332">
        <v>3.7</v>
      </c>
      <c r="Q332">
        <v>13.5</v>
      </c>
      <c r="R332">
        <v>33.9</v>
      </c>
      <c r="S332">
        <v>15.9</v>
      </c>
      <c r="T332">
        <v>8.1</v>
      </c>
      <c r="U332">
        <v>7.7</v>
      </c>
      <c r="V332" t="str">
        <f>IF(DraftData[[#This Row],[Pick]]&lt;=5,"Top 5",
IF(DraftData[[#This Row],[Pick]]&lt;=14,"Lottery",
IF(DraftData[[#This Row],[Pick]]&lt;=20,"Mid First","Late First")))</f>
        <v>Top 5</v>
      </c>
      <c r="W332" t="str">
        <f>IF(DraftData[[#This Row],[Win Shares]]&gt;=80,"Star",
IF(DraftData[[#This Row],[Win Shares]]&gt;=30,"Starter",
IF(DraftData[[#This Row],[Win Shares]]&gt;=10,"Rotation","Minimal")))</f>
        <v>Starter</v>
      </c>
      <c r="X332" t="str">
        <f>IF(AND(DraftData[[#This Row],[Pick]]&lt;=14,DraftData[[#This Row],[Win Shares]]&lt;10),"Yes","No")</f>
        <v>No</v>
      </c>
      <c r="Y332" s="2">
        <f>DraftData[[#This Row],[Win Shares]]/DraftData[[#This Row],[Pick]]</f>
        <v>30.4</v>
      </c>
      <c r="Z332" s="2">
        <f>DraftData[[#This Row],[Win Shares]]-_xlfn.XLOOKUP(DraftData[[#This Row],[Pick]],'Lookup Tables'!$A$2:$A$31,'Lookup Tables'!$B$2:$B$31)</f>
        <v>-13.183333333333337</v>
      </c>
    </row>
    <row r="333" spans="1:26">
      <c r="A333">
        <v>2016</v>
      </c>
      <c r="B333">
        <v>2</v>
      </c>
      <c r="C333" t="s">
        <v>61</v>
      </c>
      <c r="D333" t="s">
        <v>490</v>
      </c>
      <c r="E333" t="s">
        <v>119</v>
      </c>
      <c r="F333">
        <v>358</v>
      </c>
      <c r="G333">
        <v>11756</v>
      </c>
      <c r="H333">
        <v>6559</v>
      </c>
      <c r="I333">
        <v>1832</v>
      </c>
      <c r="J333">
        <v>1346</v>
      </c>
      <c r="K333">
        <v>0.45900000000000002</v>
      </c>
      <c r="L333">
        <v>0.36199999999999999</v>
      </c>
      <c r="M333">
        <v>0.76500000000000001</v>
      </c>
      <c r="N333">
        <v>17.399999999999999</v>
      </c>
      <c r="O333">
        <v>7.0999999999999994E-2</v>
      </c>
      <c r="P333">
        <v>-0.5</v>
      </c>
      <c r="Q333">
        <v>4.5999999999999996</v>
      </c>
      <c r="R333">
        <v>32.799999999999997</v>
      </c>
      <c r="S333">
        <v>18.3</v>
      </c>
      <c r="T333">
        <v>5.0999999999999996</v>
      </c>
      <c r="U333">
        <v>3.8</v>
      </c>
      <c r="V333" t="str">
        <f>IF(DraftData[[#This Row],[Pick]]&lt;=5,"Top 5",
IF(DraftData[[#This Row],[Pick]]&lt;=14,"Lottery",
IF(DraftData[[#This Row],[Pick]]&lt;=20,"Mid First","Late First")))</f>
        <v>Top 5</v>
      </c>
      <c r="W333" t="str">
        <f>IF(DraftData[[#This Row],[Win Shares]]&gt;=80,"Star",
IF(DraftData[[#This Row],[Win Shares]]&gt;=30,"Starter",
IF(DraftData[[#This Row],[Win Shares]]&gt;=10,"Rotation","Minimal")))</f>
        <v>Rotation</v>
      </c>
      <c r="X333" t="str">
        <f>IF(AND(DraftData[[#This Row],[Pick]]&lt;=14,DraftData[[#This Row],[Win Shares]]&lt;10),"Yes","No")</f>
        <v>No</v>
      </c>
      <c r="Y333" s="2">
        <f>DraftData[[#This Row],[Win Shares]]/DraftData[[#This Row],[Pick]]</f>
        <v>8.6999999999999993</v>
      </c>
      <c r="Z333" s="2">
        <f>DraftData[[#This Row],[Win Shares]]-_xlfn.XLOOKUP(DraftData[[#This Row],[Pick]],'Lookup Tables'!$A$2:$A$31,'Lookup Tables'!$B$2:$B$31)</f>
        <v>-22.391666666666666</v>
      </c>
    </row>
    <row r="334" spans="1:26">
      <c r="A334">
        <v>2016</v>
      </c>
      <c r="B334">
        <v>3</v>
      </c>
      <c r="C334" t="s">
        <v>78</v>
      </c>
      <c r="D334" t="s">
        <v>491</v>
      </c>
      <c r="E334" t="s">
        <v>227</v>
      </c>
      <c r="F334">
        <v>383</v>
      </c>
      <c r="G334">
        <v>10918</v>
      </c>
      <c r="H334">
        <v>6177</v>
      </c>
      <c r="I334">
        <v>1891</v>
      </c>
      <c r="J334">
        <v>741</v>
      </c>
      <c r="K334">
        <v>0.47</v>
      </c>
      <c r="L334">
        <v>0.373</v>
      </c>
      <c r="M334">
        <v>0.71199999999999997</v>
      </c>
      <c r="N334">
        <v>22.5</v>
      </c>
      <c r="O334">
        <v>9.9000000000000005E-2</v>
      </c>
      <c r="P334">
        <v>0</v>
      </c>
      <c r="Q334">
        <v>5.5</v>
      </c>
      <c r="R334">
        <v>28.5</v>
      </c>
      <c r="S334">
        <v>16.100000000000001</v>
      </c>
      <c r="T334">
        <v>4.9000000000000004</v>
      </c>
      <c r="U334">
        <v>1.9</v>
      </c>
      <c r="V334" t="str">
        <f>IF(DraftData[[#This Row],[Pick]]&lt;=5,"Top 5",
IF(DraftData[[#This Row],[Pick]]&lt;=14,"Lottery",
IF(DraftData[[#This Row],[Pick]]&lt;=20,"Mid First","Late First")))</f>
        <v>Top 5</v>
      </c>
      <c r="W334" t="str">
        <f>IF(DraftData[[#This Row],[Win Shares]]&gt;=80,"Star",
IF(DraftData[[#This Row],[Win Shares]]&gt;=30,"Starter",
IF(DraftData[[#This Row],[Win Shares]]&gt;=10,"Rotation","Minimal")))</f>
        <v>Rotation</v>
      </c>
      <c r="X334" t="str">
        <f>IF(AND(DraftData[[#This Row],[Pick]]&lt;=14,DraftData[[#This Row],[Win Shares]]&lt;10),"Yes","No")</f>
        <v>No</v>
      </c>
      <c r="Y334" s="2">
        <f>DraftData[[#This Row],[Win Shares]]/DraftData[[#This Row],[Pick]]</f>
        <v>7.5</v>
      </c>
      <c r="Z334" s="2">
        <f>DraftData[[#This Row],[Win Shares]]-_xlfn.XLOOKUP(DraftData[[#This Row],[Pick]],'Lookup Tables'!$A$2:$A$31,'Lookup Tables'!$B$2:$B$31)</f>
        <v>-28.266666666666673</v>
      </c>
    </row>
    <row r="335" spans="1:26">
      <c r="A335">
        <v>2016</v>
      </c>
      <c r="B335">
        <v>4</v>
      </c>
      <c r="C335" t="s">
        <v>86</v>
      </c>
      <c r="D335" t="s">
        <v>492</v>
      </c>
      <c r="F335">
        <v>187</v>
      </c>
      <c r="G335">
        <v>3755</v>
      </c>
      <c r="H335">
        <v>1014</v>
      </c>
      <c r="I335">
        <v>720</v>
      </c>
      <c r="J335">
        <v>237</v>
      </c>
      <c r="K335">
        <v>0.39900000000000002</v>
      </c>
      <c r="L335">
        <v>0.32300000000000001</v>
      </c>
      <c r="M335">
        <v>0.65400000000000003</v>
      </c>
      <c r="N335">
        <v>0.5</v>
      </c>
      <c r="O335">
        <v>6.0000000000000001E-3</v>
      </c>
      <c r="P335">
        <v>-3.9</v>
      </c>
      <c r="Q335">
        <v>-1.9</v>
      </c>
      <c r="R335">
        <v>20.100000000000001</v>
      </c>
      <c r="S335">
        <v>5.4</v>
      </c>
      <c r="T335">
        <v>3.9</v>
      </c>
      <c r="U335">
        <v>1.3</v>
      </c>
      <c r="V335" t="str">
        <f>IF(DraftData[[#This Row],[Pick]]&lt;=5,"Top 5",
IF(DraftData[[#This Row],[Pick]]&lt;=14,"Lottery",
IF(DraftData[[#This Row],[Pick]]&lt;=20,"Mid First","Late First")))</f>
        <v>Top 5</v>
      </c>
      <c r="W335" t="str">
        <f>IF(DraftData[[#This Row],[Win Shares]]&gt;=80,"Star",
IF(DraftData[[#This Row],[Win Shares]]&gt;=30,"Starter",
IF(DraftData[[#This Row],[Win Shares]]&gt;=10,"Rotation","Minimal")))</f>
        <v>Minimal</v>
      </c>
      <c r="X335" t="str">
        <f>IF(AND(DraftData[[#This Row],[Pick]]&lt;=14,DraftData[[#This Row],[Win Shares]]&lt;10),"Yes","No")</f>
        <v>Yes</v>
      </c>
      <c r="Y335" s="2">
        <f>DraftData[[#This Row],[Win Shares]]/DraftData[[#This Row],[Pick]]</f>
        <v>0.125</v>
      </c>
      <c r="Z335" s="2">
        <f>DraftData[[#This Row],[Win Shares]]-_xlfn.XLOOKUP(DraftData[[#This Row],[Pick]],'Lookup Tables'!$A$2:$A$31,'Lookup Tables'!$B$2:$B$31)</f>
        <v>-48.058333333333337</v>
      </c>
    </row>
    <row r="336" spans="1:26">
      <c r="A336">
        <v>2016</v>
      </c>
      <c r="B336">
        <v>5</v>
      </c>
      <c r="C336" t="s">
        <v>68</v>
      </c>
      <c r="D336" t="s">
        <v>493</v>
      </c>
      <c r="E336" t="s">
        <v>342</v>
      </c>
      <c r="F336">
        <v>231</v>
      </c>
      <c r="G336">
        <v>5561</v>
      </c>
      <c r="H336">
        <v>1889</v>
      </c>
      <c r="I336">
        <v>766</v>
      </c>
      <c r="J336">
        <v>950</v>
      </c>
      <c r="K336">
        <v>0.42</v>
      </c>
      <c r="L336">
        <v>0.30499999999999999</v>
      </c>
      <c r="M336">
        <v>0.72699999999999998</v>
      </c>
      <c r="N336">
        <v>3.7</v>
      </c>
      <c r="O336">
        <v>3.2000000000000001E-2</v>
      </c>
      <c r="P336">
        <v>-1.9</v>
      </c>
      <c r="Q336">
        <v>0.1</v>
      </c>
      <c r="R336">
        <v>24.1</v>
      </c>
      <c r="S336">
        <v>8.1999999999999993</v>
      </c>
      <c r="T336">
        <v>3.3</v>
      </c>
      <c r="U336">
        <v>4.0999999999999996</v>
      </c>
      <c r="V336" t="str">
        <f>IF(DraftData[[#This Row],[Pick]]&lt;=5,"Top 5",
IF(DraftData[[#This Row],[Pick]]&lt;=14,"Lottery",
IF(DraftData[[#This Row],[Pick]]&lt;=20,"Mid First","Late First")))</f>
        <v>Top 5</v>
      </c>
      <c r="W336" t="str">
        <f>IF(DraftData[[#This Row],[Win Shares]]&gt;=80,"Star",
IF(DraftData[[#This Row],[Win Shares]]&gt;=30,"Starter",
IF(DraftData[[#This Row],[Win Shares]]&gt;=10,"Rotation","Minimal")))</f>
        <v>Minimal</v>
      </c>
      <c r="X336" t="str">
        <f>IF(AND(DraftData[[#This Row],[Pick]]&lt;=14,DraftData[[#This Row],[Win Shares]]&lt;10),"Yes","No")</f>
        <v>Yes</v>
      </c>
      <c r="Y336" s="2">
        <f>DraftData[[#This Row],[Win Shares]]/DraftData[[#This Row],[Pick]]</f>
        <v>0.74</v>
      </c>
      <c r="Z336" s="2">
        <f>DraftData[[#This Row],[Win Shares]]-_xlfn.XLOOKUP(DraftData[[#This Row],[Pick]],'Lookup Tables'!$A$2:$A$31,'Lookup Tables'!$B$2:$B$31)</f>
        <v>-27.658333333333339</v>
      </c>
    </row>
    <row r="337" spans="1:26">
      <c r="A337">
        <v>2016</v>
      </c>
      <c r="B337">
        <v>6</v>
      </c>
      <c r="C337" t="s">
        <v>45</v>
      </c>
      <c r="D337" t="s">
        <v>494</v>
      </c>
      <c r="E337" t="s">
        <v>240</v>
      </c>
      <c r="F337">
        <v>446</v>
      </c>
      <c r="G337">
        <v>12906</v>
      </c>
      <c r="H337">
        <v>7070</v>
      </c>
      <c r="I337">
        <v>1895</v>
      </c>
      <c r="J337">
        <v>1076</v>
      </c>
      <c r="K337">
        <v>0.42899999999999999</v>
      </c>
      <c r="L337">
        <v>0.39900000000000002</v>
      </c>
      <c r="M337">
        <v>0.86299999999999999</v>
      </c>
      <c r="N337">
        <v>16.5</v>
      </c>
      <c r="O337">
        <v>6.0999999999999999E-2</v>
      </c>
      <c r="P337">
        <v>0.2</v>
      </c>
      <c r="Q337">
        <v>7.2</v>
      </c>
      <c r="R337">
        <v>28.9</v>
      </c>
      <c r="S337">
        <v>15.9</v>
      </c>
      <c r="T337">
        <v>4.2</v>
      </c>
      <c r="U337">
        <v>2.4</v>
      </c>
      <c r="V337" t="str">
        <f>IF(DraftData[[#This Row],[Pick]]&lt;=5,"Top 5",
IF(DraftData[[#This Row],[Pick]]&lt;=14,"Lottery",
IF(DraftData[[#This Row],[Pick]]&lt;=20,"Mid First","Late First")))</f>
        <v>Lottery</v>
      </c>
      <c r="W337" t="str">
        <f>IF(DraftData[[#This Row],[Win Shares]]&gt;=80,"Star",
IF(DraftData[[#This Row],[Win Shares]]&gt;=30,"Starter",
IF(DraftData[[#This Row],[Win Shares]]&gt;=10,"Rotation","Minimal")))</f>
        <v>Rotation</v>
      </c>
      <c r="X337" t="str">
        <f>IF(AND(DraftData[[#This Row],[Pick]]&lt;=14,DraftData[[#This Row],[Win Shares]]&lt;10),"Yes","No")</f>
        <v>No</v>
      </c>
      <c r="Y337" s="2">
        <f>DraftData[[#This Row],[Win Shares]]/DraftData[[#This Row],[Pick]]</f>
        <v>2.75</v>
      </c>
      <c r="Z337" s="2">
        <f>DraftData[[#This Row],[Win Shares]]-_xlfn.XLOOKUP(DraftData[[#This Row],[Pick]],'Lookup Tables'!$A$2:$A$31,'Lookup Tables'!$B$2:$B$31)</f>
        <v>-11.158333333333335</v>
      </c>
    </row>
    <row r="338" spans="1:26">
      <c r="A338">
        <v>2016</v>
      </c>
      <c r="B338">
        <v>7</v>
      </c>
      <c r="C338" t="s">
        <v>83</v>
      </c>
      <c r="D338" t="s">
        <v>495</v>
      </c>
      <c r="E338" t="s">
        <v>144</v>
      </c>
      <c r="F338">
        <v>345</v>
      </c>
      <c r="G338">
        <v>10384</v>
      </c>
      <c r="H338">
        <v>5639</v>
      </c>
      <c r="I338">
        <v>1258</v>
      </c>
      <c r="J338">
        <v>1322</v>
      </c>
      <c r="K338">
        <v>0.44600000000000001</v>
      </c>
      <c r="L338">
        <v>0.36699999999999999</v>
      </c>
      <c r="M338">
        <v>0.878</v>
      </c>
      <c r="N338">
        <v>20.8</v>
      </c>
      <c r="O338">
        <v>9.6000000000000002E-2</v>
      </c>
      <c r="P338">
        <v>0.3</v>
      </c>
      <c r="Q338">
        <v>6</v>
      </c>
      <c r="R338">
        <v>30.1</v>
      </c>
      <c r="S338">
        <v>16.3</v>
      </c>
      <c r="T338">
        <v>3.6</v>
      </c>
      <c r="U338">
        <v>3.8</v>
      </c>
      <c r="V338" t="str">
        <f>IF(DraftData[[#This Row],[Pick]]&lt;=5,"Top 5",
IF(DraftData[[#This Row],[Pick]]&lt;=14,"Lottery",
IF(DraftData[[#This Row],[Pick]]&lt;=20,"Mid First","Late First")))</f>
        <v>Lottery</v>
      </c>
      <c r="W338" t="str">
        <f>IF(DraftData[[#This Row],[Win Shares]]&gt;=80,"Star",
IF(DraftData[[#This Row],[Win Shares]]&gt;=30,"Starter",
IF(DraftData[[#This Row],[Win Shares]]&gt;=10,"Rotation","Minimal")))</f>
        <v>Rotation</v>
      </c>
      <c r="X338" t="str">
        <f>IF(AND(DraftData[[#This Row],[Pick]]&lt;=14,DraftData[[#This Row],[Win Shares]]&lt;10),"Yes","No")</f>
        <v>No</v>
      </c>
      <c r="Y338" s="2">
        <f>DraftData[[#This Row],[Win Shares]]/DraftData[[#This Row],[Pick]]</f>
        <v>2.9714285714285715</v>
      </c>
      <c r="Z338" s="2">
        <f>DraftData[[#This Row],[Win Shares]]-_xlfn.XLOOKUP(DraftData[[#This Row],[Pick]],'Lookup Tables'!$A$2:$A$31,'Lookup Tables'!$B$2:$B$31)</f>
        <v>-13.175000000000008</v>
      </c>
    </row>
    <row r="339" spans="1:26">
      <c r="A339">
        <v>2016</v>
      </c>
      <c r="B339">
        <v>8</v>
      </c>
      <c r="C339" t="s">
        <v>91</v>
      </c>
      <c r="D339" t="s">
        <v>496</v>
      </c>
      <c r="E339" t="s">
        <v>88</v>
      </c>
      <c r="F339">
        <v>281</v>
      </c>
      <c r="G339">
        <v>5248</v>
      </c>
      <c r="H339">
        <v>2167</v>
      </c>
      <c r="I339">
        <v>1343</v>
      </c>
      <c r="J339">
        <v>293</v>
      </c>
      <c r="K339">
        <v>0.45600000000000002</v>
      </c>
      <c r="L339">
        <v>0.28999999999999998</v>
      </c>
      <c r="M339">
        <v>0.66600000000000004</v>
      </c>
      <c r="N339">
        <v>6.2</v>
      </c>
      <c r="O339">
        <v>5.6000000000000001E-2</v>
      </c>
      <c r="P339">
        <v>-2.2999999999999998</v>
      </c>
      <c r="Q339">
        <v>-0.4</v>
      </c>
      <c r="R339">
        <v>18.7</v>
      </c>
      <c r="S339">
        <v>7.7</v>
      </c>
      <c r="T339">
        <v>4.8</v>
      </c>
      <c r="U339">
        <v>1</v>
      </c>
      <c r="V339" t="str">
        <f>IF(DraftData[[#This Row],[Pick]]&lt;=5,"Top 5",
IF(DraftData[[#This Row],[Pick]]&lt;=14,"Lottery",
IF(DraftData[[#This Row],[Pick]]&lt;=20,"Mid First","Late First")))</f>
        <v>Lottery</v>
      </c>
      <c r="W339" t="str">
        <f>IF(DraftData[[#This Row],[Win Shares]]&gt;=80,"Star",
IF(DraftData[[#This Row],[Win Shares]]&gt;=30,"Starter",
IF(DraftData[[#This Row],[Win Shares]]&gt;=10,"Rotation","Minimal")))</f>
        <v>Minimal</v>
      </c>
      <c r="X339" t="str">
        <f>IF(AND(DraftData[[#This Row],[Pick]]&lt;=14,DraftData[[#This Row],[Win Shares]]&lt;10),"Yes","No")</f>
        <v>Yes</v>
      </c>
      <c r="Y339" s="2">
        <f>DraftData[[#This Row],[Win Shares]]/DraftData[[#This Row],[Pick]]</f>
        <v>0.77500000000000002</v>
      </c>
      <c r="Z339" s="2">
        <f>DraftData[[#This Row],[Win Shares]]-_xlfn.XLOOKUP(DraftData[[#This Row],[Pick]],'Lookup Tables'!$A$2:$A$31,'Lookup Tables'!$B$2:$B$31)</f>
        <v>-14.958333333333332</v>
      </c>
    </row>
    <row r="340" spans="1:26">
      <c r="A340">
        <v>2016</v>
      </c>
      <c r="B340">
        <v>9</v>
      </c>
      <c r="C340" t="s">
        <v>52</v>
      </c>
      <c r="D340" t="s">
        <v>497</v>
      </c>
      <c r="E340" t="s">
        <v>38</v>
      </c>
      <c r="F340">
        <v>397</v>
      </c>
      <c r="G340">
        <v>7853</v>
      </c>
      <c r="H340">
        <v>2762</v>
      </c>
      <c r="I340">
        <v>2339</v>
      </c>
      <c r="J340">
        <v>550</v>
      </c>
      <c r="K340">
        <v>0.627</v>
      </c>
      <c r="L340">
        <v>0.66700000000000004</v>
      </c>
      <c r="M340">
        <v>0.51400000000000001</v>
      </c>
      <c r="N340">
        <v>27</v>
      </c>
      <c r="O340">
        <v>0.16500000000000001</v>
      </c>
      <c r="P340">
        <v>1</v>
      </c>
      <c r="Q340">
        <v>6</v>
      </c>
      <c r="R340">
        <v>19.8</v>
      </c>
      <c r="S340">
        <v>7</v>
      </c>
      <c r="T340">
        <v>5.9</v>
      </c>
      <c r="U340">
        <v>1.4</v>
      </c>
      <c r="V340" t="str">
        <f>IF(DraftData[[#This Row],[Pick]]&lt;=5,"Top 5",
IF(DraftData[[#This Row],[Pick]]&lt;=14,"Lottery",
IF(DraftData[[#This Row],[Pick]]&lt;=20,"Mid First","Late First")))</f>
        <v>Lottery</v>
      </c>
      <c r="W340" t="str">
        <f>IF(DraftData[[#This Row],[Win Shares]]&gt;=80,"Star",
IF(DraftData[[#This Row],[Win Shares]]&gt;=30,"Starter",
IF(DraftData[[#This Row],[Win Shares]]&gt;=10,"Rotation","Minimal")))</f>
        <v>Rotation</v>
      </c>
      <c r="X340" t="str">
        <f>IF(AND(DraftData[[#This Row],[Pick]]&lt;=14,DraftData[[#This Row],[Win Shares]]&lt;10),"Yes","No")</f>
        <v>No</v>
      </c>
      <c r="Y340" s="2">
        <f>DraftData[[#This Row],[Win Shares]]/DraftData[[#This Row],[Pick]]</f>
        <v>3</v>
      </c>
      <c r="Z340" s="2">
        <f>DraftData[[#This Row],[Win Shares]]-_xlfn.XLOOKUP(DraftData[[#This Row],[Pick]],'Lookup Tables'!$A$2:$A$31,'Lookup Tables'!$B$2:$B$31)</f>
        <v>-10.391666666666666</v>
      </c>
    </row>
    <row r="341" spans="1:26">
      <c r="A341">
        <v>2016</v>
      </c>
      <c r="B341">
        <v>10</v>
      </c>
      <c r="C341" t="s">
        <v>36</v>
      </c>
      <c r="D341" t="s">
        <v>498</v>
      </c>
      <c r="F341">
        <v>263</v>
      </c>
      <c r="G341">
        <v>3624</v>
      </c>
      <c r="H341">
        <v>1216</v>
      </c>
      <c r="I341">
        <v>726</v>
      </c>
      <c r="J341">
        <v>161</v>
      </c>
      <c r="K341">
        <v>0.435</v>
      </c>
      <c r="L341">
        <v>0.32700000000000001</v>
      </c>
      <c r="M341">
        <v>0.68</v>
      </c>
      <c r="N341">
        <v>6.6</v>
      </c>
      <c r="O341">
        <v>8.6999999999999994E-2</v>
      </c>
      <c r="P341">
        <v>-2.1</v>
      </c>
      <c r="Q341">
        <v>-0.1</v>
      </c>
      <c r="R341">
        <v>13.8</v>
      </c>
      <c r="S341">
        <v>4.5999999999999996</v>
      </c>
      <c r="T341">
        <v>2.8</v>
      </c>
      <c r="U341">
        <v>0.6</v>
      </c>
      <c r="V341" t="str">
        <f>IF(DraftData[[#This Row],[Pick]]&lt;=5,"Top 5",
IF(DraftData[[#This Row],[Pick]]&lt;=14,"Lottery",
IF(DraftData[[#This Row],[Pick]]&lt;=20,"Mid First","Late First")))</f>
        <v>Lottery</v>
      </c>
      <c r="W341" t="str">
        <f>IF(DraftData[[#This Row],[Win Shares]]&gt;=80,"Star",
IF(DraftData[[#This Row],[Win Shares]]&gt;=30,"Starter",
IF(DraftData[[#This Row],[Win Shares]]&gt;=10,"Rotation","Minimal")))</f>
        <v>Minimal</v>
      </c>
      <c r="X341" t="str">
        <f>IF(AND(DraftData[[#This Row],[Pick]]&lt;=14,DraftData[[#This Row],[Win Shares]]&lt;10),"Yes","No")</f>
        <v>Yes</v>
      </c>
      <c r="Y341" s="2">
        <f>DraftData[[#This Row],[Win Shares]]/DraftData[[#This Row],[Pick]]</f>
        <v>0.65999999999999992</v>
      </c>
      <c r="Z341" s="2">
        <f>DraftData[[#This Row],[Win Shares]]-_xlfn.XLOOKUP(DraftData[[#This Row],[Pick]],'Lookup Tables'!$A$2:$A$31,'Lookup Tables'!$B$2:$B$31)</f>
        <v>-20.25</v>
      </c>
    </row>
    <row r="342" spans="1:26">
      <c r="A342">
        <v>2016</v>
      </c>
      <c r="B342">
        <v>11</v>
      </c>
      <c r="C342" t="s">
        <v>63</v>
      </c>
      <c r="D342" t="s">
        <v>499</v>
      </c>
      <c r="E342" t="s">
        <v>115</v>
      </c>
      <c r="F342">
        <v>404</v>
      </c>
      <c r="G342">
        <v>11431</v>
      </c>
      <c r="H342">
        <v>5747</v>
      </c>
      <c r="I342">
        <v>3676</v>
      </c>
      <c r="J342">
        <v>1428</v>
      </c>
      <c r="K342">
        <v>0.53300000000000003</v>
      </c>
      <c r="L342">
        <v>0.32</v>
      </c>
      <c r="M342">
        <v>0.72699999999999998</v>
      </c>
      <c r="N342">
        <v>34.1</v>
      </c>
      <c r="O342">
        <v>0.14299999999999999</v>
      </c>
      <c r="P342">
        <v>1.7</v>
      </c>
      <c r="Q342">
        <v>10.8</v>
      </c>
      <c r="R342">
        <v>28.3</v>
      </c>
      <c r="S342">
        <v>14.2</v>
      </c>
      <c r="T342">
        <v>9.1</v>
      </c>
      <c r="U342">
        <v>3.5</v>
      </c>
      <c r="V342" t="str">
        <f>IF(DraftData[[#This Row],[Pick]]&lt;=5,"Top 5",
IF(DraftData[[#This Row],[Pick]]&lt;=14,"Lottery",
IF(DraftData[[#This Row],[Pick]]&lt;=20,"Mid First","Late First")))</f>
        <v>Lottery</v>
      </c>
      <c r="W342" t="str">
        <f>IF(DraftData[[#This Row],[Win Shares]]&gt;=80,"Star",
IF(DraftData[[#This Row],[Win Shares]]&gt;=30,"Starter",
IF(DraftData[[#This Row],[Win Shares]]&gt;=10,"Rotation","Minimal")))</f>
        <v>Starter</v>
      </c>
      <c r="X342" t="str">
        <f>IF(AND(DraftData[[#This Row],[Pick]]&lt;=14,DraftData[[#This Row],[Win Shares]]&lt;10),"Yes","No")</f>
        <v>No</v>
      </c>
      <c r="Y342" s="2">
        <f>DraftData[[#This Row],[Win Shares]]/DraftData[[#This Row],[Pick]]</f>
        <v>3.1</v>
      </c>
      <c r="Z342" s="2">
        <f>DraftData[[#This Row],[Win Shares]]-_xlfn.XLOOKUP(DraftData[[#This Row],[Pick]],'Lookup Tables'!$A$2:$A$31,'Lookup Tables'!$B$2:$B$31)</f>
        <v>11.400000000000002</v>
      </c>
    </row>
    <row r="343" spans="1:26">
      <c r="A343">
        <v>2016</v>
      </c>
      <c r="B343">
        <v>12</v>
      </c>
      <c r="C343" t="s">
        <v>42</v>
      </c>
      <c r="D343" t="s">
        <v>500</v>
      </c>
      <c r="E343" t="s">
        <v>278</v>
      </c>
      <c r="F343">
        <v>348</v>
      </c>
      <c r="G343">
        <v>8480</v>
      </c>
      <c r="H343">
        <v>3667</v>
      </c>
      <c r="I343">
        <v>1378</v>
      </c>
      <c r="J343">
        <v>619</v>
      </c>
      <c r="K343">
        <v>0.41399999999999998</v>
      </c>
      <c r="L343">
        <v>0.372</v>
      </c>
      <c r="M343">
        <v>0.81899999999999995</v>
      </c>
      <c r="N343">
        <v>7.4</v>
      </c>
      <c r="O343">
        <v>4.2000000000000003E-2</v>
      </c>
      <c r="P343">
        <v>-1.9</v>
      </c>
      <c r="Q343">
        <v>0.3</v>
      </c>
      <c r="R343">
        <v>24.4</v>
      </c>
      <c r="S343">
        <v>10.5</v>
      </c>
      <c r="T343">
        <v>4</v>
      </c>
      <c r="U343">
        <v>1.8</v>
      </c>
      <c r="V343" t="str">
        <f>IF(DraftData[[#This Row],[Pick]]&lt;=5,"Top 5",
IF(DraftData[[#This Row],[Pick]]&lt;=14,"Lottery",
IF(DraftData[[#This Row],[Pick]]&lt;=20,"Mid First","Late First")))</f>
        <v>Lottery</v>
      </c>
      <c r="W343" t="str">
        <f>IF(DraftData[[#This Row],[Win Shares]]&gt;=80,"Star",
IF(DraftData[[#This Row],[Win Shares]]&gt;=30,"Starter",
IF(DraftData[[#This Row],[Win Shares]]&gt;=10,"Rotation","Minimal")))</f>
        <v>Minimal</v>
      </c>
      <c r="X343" t="str">
        <f>IF(AND(DraftData[[#This Row],[Pick]]&lt;=14,DraftData[[#This Row],[Win Shares]]&lt;10),"Yes","No")</f>
        <v>Yes</v>
      </c>
      <c r="Y343" s="2">
        <f>DraftData[[#This Row],[Win Shares]]/DraftData[[#This Row],[Pick]]</f>
        <v>0.6166666666666667</v>
      </c>
      <c r="Z343" s="2">
        <f>DraftData[[#This Row],[Win Shares]]-_xlfn.XLOOKUP(DraftData[[#This Row],[Pick]],'Lookup Tables'!$A$2:$A$31,'Lookup Tables'!$B$2:$B$31)</f>
        <v>-13.916666666666666</v>
      </c>
    </row>
    <row r="344" spans="1:26">
      <c r="A344">
        <v>2016</v>
      </c>
      <c r="B344">
        <v>13</v>
      </c>
      <c r="C344" t="s">
        <v>86</v>
      </c>
      <c r="D344" t="s">
        <v>501</v>
      </c>
      <c r="F344">
        <v>39</v>
      </c>
      <c r="G344">
        <v>477</v>
      </c>
      <c r="H344">
        <v>160</v>
      </c>
      <c r="I344">
        <v>123</v>
      </c>
      <c r="J344">
        <v>29</v>
      </c>
      <c r="K344">
        <v>0.51400000000000001</v>
      </c>
      <c r="L344">
        <v>0</v>
      </c>
      <c r="M344">
        <v>0.85699999999999998</v>
      </c>
      <c r="N344">
        <v>0.4</v>
      </c>
      <c r="O344">
        <v>4.3999999999999997E-2</v>
      </c>
      <c r="P344">
        <v>-3.9</v>
      </c>
      <c r="Q344">
        <v>-0.2</v>
      </c>
      <c r="R344">
        <v>12.2</v>
      </c>
      <c r="S344">
        <v>4.0999999999999996</v>
      </c>
      <c r="T344">
        <v>3.2</v>
      </c>
      <c r="U344">
        <v>0.7</v>
      </c>
      <c r="V344" t="str">
        <f>IF(DraftData[[#This Row],[Pick]]&lt;=5,"Top 5",
IF(DraftData[[#This Row],[Pick]]&lt;=14,"Lottery",
IF(DraftData[[#This Row],[Pick]]&lt;=20,"Mid First","Late First")))</f>
        <v>Lottery</v>
      </c>
      <c r="W344" t="str">
        <f>IF(DraftData[[#This Row],[Win Shares]]&gt;=80,"Star",
IF(DraftData[[#This Row],[Win Shares]]&gt;=30,"Starter",
IF(DraftData[[#This Row],[Win Shares]]&gt;=10,"Rotation","Minimal")))</f>
        <v>Minimal</v>
      </c>
      <c r="X344" t="str">
        <f>IF(AND(DraftData[[#This Row],[Pick]]&lt;=14,DraftData[[#This Row],[Win Shares]]&lt;10),"Yes","No")</f>
        <v>Yes</v>
      </c>
      <c r="Y344" s="2">
        <f>DraftData[[#This Row],[Win Shares]]/DraftData[[#This Row],[Pick]]</f>
        <v>3.0769230769230771E-2</v>
      </c>
      <c r="Z344" s="2">
        <f>DraftData[[#This Row],[Win Shares]]-_xlfn.XLOOKUP(DraftData[[#This Row],[Pick]],'Lookup Tables'!$A$2:$A$31,'Lookup Tables'!$B$2:$B$31)</f>
        <v>-18.933333333333334</v>
      </c>
    </row>
    <row r="345" spans="1:26">
      <c r="A345">
        <v>2016</v>
      </c>
      <c r="B345">
        <v>14</v>
      </c>
      <c r="C345" t="s">
        <v>111</v>
      </c>
      <c r="D345" t="s">
        <v>502</v>
      </c>
      <c r="E345" t="s">
        <v>150</v>
      </c>
      <c r="F345">
        <v>256</v>
      </c>
      <c r="G345">
        <v>4817</v>
      </c>
      <c r="H345">
        <v>1795</v>
      </c>
      <c r="I345">
        <v>857</v>
      </c>
      <c r="J345">
        <v>466</v>
      </c>
      <c r="K345">
        <v>0.39400000000000002</v>
      </c>
      <c r="L345">
        <v>0.36</v>
      </c>
      <c r="M345">
        <v>0.78700000000000003</v>
      </c>
      <c r="N345">
        <v>4.5</v>
      </c>
      <c r="O345">
        <v>4.4999999999999998E-2</v>
      </c>
      <c r="P345">
        <v>-1.8</v>
      </c>
      <c r="Q345">
        <v>0.2</v>
      </c>
      <c r="R345">
        <v>18.8</v>
      </c>
      <c r="S345">
        <v>7</v>
      </c>
      <c r="T345">
        <v>3.3</v>
      </c>
      <c r="U345">
        <v>1.8</v>
      </c>
      <c r="V345" t="str">
        <f>IF(DraftData[[#This Row],[Pick]]&lt;=5,"Top 5",
IF(DraftData[[#This Row],[Pick]]&lt;=14,"Lottery",
IF(DraftData[[#This Row],[Pick]]&lt;=20,"Mid First","Late First")))</f>
        <v>Lottery</v>
      </c>
      <c r="W345" t="str">
        <f>IF(DraftData[[#This Row],[Win Shares]]&gt;=80,"Star",
IF(DraftData[[#This Row],[Win Shares]]&gt;=30,"Starter",
IF(DraftData[[#This Row],[Win Shares]]&gt;=10,"Rotation","Minimal")))</f>
        <v>Minimal</v>
      </c>
      <c r="X345" t="str">
        <f>IF(AND(DraftData[[#This Row],[Pick]]&lt;=14,DraftData[[#This Row],[Win Shares]]&lt;10),"Yes","No")</f>
        <v>Yes</v>
      </c>
      <c r="Y345" s="2">
        <f>DraftData[[#This Row],[Win Shares]]/DraftData[[#This Row],[Pick]]</f>
        <v>0.32142857142857145</v>
      </c>
      <c r="Z345" s="2">
        <f>DraftData[[#This Row],[Win Shares]]-_xlfn.XLOOKUP(DraftData[[#This Row],[Pick]],'Lookup Tables'!$A$2:$A$31,'Lookup Tables'!$B$2:$B$31)</f>
        <v>-10.249999999999998</v>
      </c>
    </row>
    <row r="346" spans="1:26">
      <c r="A346">
        <v>2016</v>
      </c>
      <c r="B346">
        <v>15</v>
      </c>
      <c r="C346" t="s">
        <v>83</v>
      </c>
      <c r="D346" t="s">
        <v>503</v>
      </c>
      <c r="F346">
        <v>282</v>
      </c>
      <c r="G346">
        <v>4362</v>
      </c>
      <c r="H346">
        <v>1487</v>
      </c>
      <c r="I346">
        <v>948</v>
      </c>
      <c r="J346">
        <v>177</v>
      </c>
      <c r="K346">
        <v>0.42399999999999999</v>
      </c>
      <c r="L346">
        <v>0.34499999999999997</v>
      </c>
      <c r="M346">
        <v>0.69299999999999995</v>
      </c>
      <c r="N346">
        <v>7.1</v>
      </c>
      <c r="O346">
        <v>7.9000000000000001E-2</v>
      </c>
      <c r="P346">
        <v>-2</v>
      </c>
      <c r="Q346">
        <v>0</v>
      </c>
      <c r="R346">
        <v>15.5</v>
      </c>
      <c r="S346">
        <v>5.3</v>
      </c>
      <c r="T346">
        <v>3.4</v>
      </c>
      <c r="U346">
        <v>0.6</v>
      </c>
      <c r="V346" t="str">
        <f>IF(DraftData[[#This Row],[Pick]]&lt;=5,"Top 5",
IF(DraftData[[#This Row],[Pick]]&lt;=14,"Lottery",
IF(DraftData[[#This Row],[Pick]]&lt;=20,"Mid First","Late First")))</f>
        <v>Mid First</v>
      </c>
      <c r="W346" t="str">
        <f>IF(DraftData[[#This Row],[Win Shares]]&gt;=80,"Star",
IF(DraftData[[#This Row],[Win Shares]]&gt;=30,"Starter",
IF(DraftData[[#This Row],[Win Shares]]&gt;=10,"Rotation","Minimal")))</f>
        <v>Minimal</v>
      </c>
      <c r="X346" t="str">
        <f>IF(AND(DraftData[[#This Row],[Pick]]&lt;=14,DraftData[[#This Row],[Win Shares]]&lt;10),"Yes","No")</f>
        <v>No</v>
      </c>
      <c r="Y346" s="2">
        <f>DraftData[[#This Row],[Win Shares]]/DraftData[[#This Row],[Pick]]</f>
        <v>0.47333333333333333</v>
      </c>
      <c r="Z346" s="2">
        <f>DraftData[[#This Row],[Win Shares]]-_xlfn.XLOOKUP(DraftData[[#This Row],[Pick]],'Lookup Tables'!$A$2:$A$31,'Lookup Tables'!$B$2:$B$31)</f>
        <v>-18.68333333333333</v>
      </c>
    </row>
    <row r="347" spans="1:26">
      <c r="A347">
        <v>2016</v>
      </c>
      <c r="B347">
        <v>16</v>
      </c>
      <c r="C347" t="s">
        <v>78</v>
      </c>
      <c r="D347" t="s">
        <v>504</v>
      </c>
      <c r="F347">
        <v>74</v>
      </c>
      <c r="G347">
        <v>486</v>
      </c>
      <c r="H347">
        <v>173</v>
      </c>
      <c r="I347">
        <v>105</v>
      </c>
      <c r="J347">
        <v>31</v>
      </c>
      <c r="K347">
        <v>0.442</v>
      </c>
      <c r="L347">
        <v>0.32300000000000001</v>
      </c>
      <c r="M347">
        <v>0.68200000000000005</v>
      </c>
      <c r="N347">
        <v>1.1000000000000001</v>
      </c>
      <c r="O347">
        <v>0.105</v>
      </c>
      <c r="P347">
        <v>-1.9</v>
      </c>
      <c r="Q347">
        <v>0</v>
      </c>
      <c r="R347">
        <v>6.6</v>
      </c>
      <c r="S347">
        <v>2.2999999999999998</v>
      </c>
      <c r="T347">
        <v>1.4</v>
      </c>
      <c r="U347">
        <v>0.4</v>
      </c>
      <c r="V347" t="str">
        <f>IF(DraftData[[#This Row],[Pick]]&lt;=5,"Top 5",
IF(DraftData[[#This Row],[Pick]]&lt;=14,"Lottery",
IF(DraftData[[#This Row],[Pick]]&lt;=20,"Mid First","Late First")))</f>
        <v>Mid First</v>
      </c>
      <c r="W347" t="str">
        <f>IF(DraftData[[#This Row],[Win Shares]]&gt;=80,"Star",
IF(DraftData[[#This Row],[Win Shares]]&gt;=30,"Starter",
IF(DraftData[[#This Row],[Win Shares]]&gt;=10,"Rotation","Minimal")))</f>
        <v>Minimal</v>
      </c>
      <c r="X347" t="str">
        <f>IF(AND(DraftData[[#This Row],[Pick]]&lt;=14,DraftData[[#This Row],[Win Shares]]&lt;10),"Yes","No")</f>
        <v>No</v>
      </c>
      <c r="Y347" s="2">
        <f>DraftData[[#This Row],[Win Shares]]/DraftData[[#This Row],[Pick]]</f>
        <v>6.8750000000000006E-2</v>
      </c>
      <c r="Z347" s="2">
        <f>DraftData[[#This Row],[Win Shares]]-_xlfn.XLOOKUP(DraftData[[#This Row],[Pick]],'Lookup Tables'!$A$2:$A$31,'Lookup Tables'!$B$2:$B$31)</f>
        <v>-15.883333333333335</v>
      </c>
    </row>
    <row r="348" spans="1:26">
      <c r="A348">
        <v>2016</v>
      </c>
      <c r="B348">
        <v>17</v>
      </c>
      <c r="C348" t="s">
        <v>80</v>
      </c>
      <c r="D348" t="s">
        <v>505</v>
      </c>
      <c r="E348" t="s">
        <v>376</v>
      </c>
      <c r="F348">
        <v>56</v>
      </c>
      <c r="G348">
        <v>579</v>
      </c>
      <c r="H348">
        <v>174</v>
      </c>
      <c r="I348">
        <v>69</v>
      </c>
      <c r="J348">
        <v>78</v>
      </c>
      <c r="K348">
        <v>0.35499999999999998</v>
      </c>
      <c r="L348">
        <v>0.25</v>
      </c>
      <c r="M348">
        <v>0.77600000000000002</v>
      </c>
      <c r="N348">
        <v>-0.3</v>
      </c>
      <c r="O348">
        <v>-2.8000000000000001E-2</v>
      </c>
      <c r="P348">
        <v>-5.3</v>
      </c>
      <c r="Q348">
        <v>-0.5</v>
      </c>
      <c r="R348">
        <v>10.3</v>
      </c>
      <c r="S348">
        <v>3.1</v>
      </c>
      <c r="T348">
        <v>1.2</v>
      </c>
      <c r="U348">
        <v>1.4</v>
      </c>
      <c r="V348" t="str">
        <f>IF(DraftData[[#This Row],[Pick]]&lt;=5,"Top 5",
IF(DraftData[[#This Row],[Pick]]&lt;=14,"Lottery",
IF(DraftData[[#This Row],[Pick]]&lt;=20,"Mid First","Late First")))</f>
        <v>Mid First</v>
      </c>
      <c r="W348" t="str">
        <f>IF(DraftData[[#This Row],[Win Shares]]&gt;=80,"Star",
IF(DraftData[[#This Row],[Win Shares]]&gt;=30,"Starter",
IF(DraftData[[#This Row],[Win Shares]]&gt;=10,"Rotation","Minimal")))</f>
        <v>Minimal</v>
      </c>
      <c r="X348" t="str">
        <f>IF(AND(DraftData[[#This Row],[Pick]]&lt;=14,DraftData[[#This Row],[Win Shares]]&lt;10),"Yes","No")</f>
        <v>No</v>
      </c>
      <c r="Y348" s="2">
        <f>DraftData[[#This Row],[Win Shares]]/DraftData[[#This Row],[Pick]]</f>
        <v>-1.7647058823529412E-2</v>
      </c>
      <c r="Z348" s="2">
        <f>DraftData[[#This Row],[Win Shares]]-_xlfn.XLOOKUP(DraftData[[#This Row],[Pick]],'Lookup Tables'!$A$2:$A$31,'Lookup Tables'!$B$2:$B$31)</f>
        <v>-17.616666666666667</v>
      </c>
    </row>
    <row r="349" spans="1:26">
      <c r="A349">
        <v>2016</v>
      </c>
      <c r="B349">
        <v>18</v>
      </c>
      <c r="C349" t="s">
        <v>98</v>
      </c>
      <c r="D349" t="s">
        <v>506</v>
      </c>
      <c r="E349" t="s">
        <v>310</v>
      </c>
      <c r="F349">
        <v>83</v>
      </c>
      <c r="G349">
        <v>787</v>
      </c>
      <c r="H349">
        <v>342</v>
      </c>
      <c r="I349">
        <v>206</v>
      </c>
      <c r="J349">
        <v>49</v>
      </c>
      <c r="K349">
        <v>0.371</v>
      </c>
      <c r="L349">
        <v>0.33600000000000002</v>
      </c>
      <c r="M349">
        <v>0.77300000000000002</v>
      </c>
      <c r="N349">
        <v>0.4</v>
      </c>
      <c r="O349">
        <v>2.3E-2</v>
      </c>
      <c r="P349">
        <v>-3.7</v>
      </c>
      <c r="Q349">
        <v>-0.3</v>
      </c>
      <c r="R349">
        <v>9.5</v>
      </c>
      <c r="S349">
        <v>4.0999999999999996</v>
      </c>
      <c r="T349">
        <v>2.5</v>
      </c>
      <c r="U349">
        <v>0.6</v>
      </c>
      <c r="V349" t="str">
        <f>IF(DraftData[[#This Row],[Pick]]&lt;=5,"Top 5",
IF(DraftData[[#This Row],[Pick]]&lt;=14,"Lottery",
IF(DraftData[[#This Row],[Pick]]&lt;=20,"Mid First","Late First")))</f>
        <v>Mid First</v>
      </c>
      <c r="W349" t="str">
        <f>IF(DraftData[[#This Row],[Win Shares]]&gt;=80,"Star",
IF(DraftData[[#This Row],[Win Shares]]&gt;=30,"Starter",
IF(DraftData[[#This Row],[Win Shares]]&gt;=10,"Rotation","Minimal")))</f>
        <v>Minimal</v>
      </c>
      <c r="X349" t="str">
        <f>IF(AND(DraftData[[#This Row],[Pick]]&lt;=14,DraftData[[#This Row],[Win Shares]]&lt;10),"Yes","No")</f>
        <v>No</v>
      </c>
      <c r="Y349" s="2">
        <f>DraftData[[#This Row],[Win Shares]]/DraftData[[#This Row],[Pick]]</f>
        <v>2.2222222222222223E-2</v>
      </c>
      <c r="Z349" s="2">
        <f>DraftData[[#This Row],[Win Shares]]-_xlfn.XLOOKUP(DraftData[[#This Row],[Pick]],'Lookup Tables'!$A$2:$A$31,'Lookup Tables'!$B$2:$B$31)</f>
        <v>-16.908333333333335</v>
      </c>
    </row>
    <row r="350" spans="1:26">
      <c r="A350">
        <v>2016</v>
      </c>
      <c r="B350">
        <v>19</v>
      </c>
      <c r="C350" t="s">
        <v>83</v>
      </c>
      <c r="D350" t="s">
        <v>507</v>
      </c>
      <c r="E350" t="s">
        <v>175</v>
      </c>
      <c r="F350">
        <v>316</v>
      </c>
      <c r="G350">
        <v>6545</v>
      </c>
      <c r="H350">
        <v>3239</v>
      </c>
      <c r="I350">
        <v>774</v>
      </c>
      <c r="J350">
        <v>388</v>
      </c>
      <c r="K350">
        <v>0.42899999999999999</v>
      </c>
      <c r="L350">
        <v>0.38</v>
      </c>
      <c r="M350">
        <v>0.80800000000000005</v>
      </c>
      <c r="N350">
        <v>9</v>
      </c>
      <c r="O350">
        <v>6.6000000000000003E-2</v>
      </c>
      <c r="P350">
        <v>-1.2</v>
      </c>
      <c r="Q350">
        <v>1.4</v>
      </c>
      <c r="R350">
        <v>20.7</v>
      </c>
      <c r="S350">
        <v>10.3</v>
      </c>
      <c r="T350">
        <v>2.4</v>
      </c>
      <c r="U350">
        <v>1.2</v>
      </c>
      <c r="V350" t="str">
        <f>IF(DraftData[[#This Row],[Pick]]&lt;=5,"Top 5",
IF(DraftData[[#This Row],[Pick]]&lt;=14,"Lottery",
IF(DraftData[[#This Row],[Pick]]&lt;=20,"Mid First","Late First")))</f>
        <v>Mid First</v>
      </c>
      <c r="W350" t="str">
        <f>IF(DraftData[[#This Row],[Win Shares]]&gt;=80,"Star",
IF(DraftData[[#This Row],[Win Shares]]&gt;=30,"Starter",
IF(DraftData[[#This Row],[Win Shares]]&gt;=10,"Rotation","Minimal")))</f>
        <v>Minimal</v>
      </c>
      <c r="X350" t="str">
        <f>IF(AND(DraftData[[#This Row],[Pick]]&lt;=14,DraftData[[#This Row],[Win Shares]]&lt;10),"Yes","No")</f>
        <v>No</v>
      </c>
      <c r="Y350" s="2">
        <f>DraftData[[#This Row],[Win Shares]]/DraftData[[#This Row],[Pick]]</f>
        <v>0.47368421052631576</v>
      </c>
      <c r="Z350" s="2">
        <f>DraftData[[#This Row],[Win Shares]]-_xlfn.XLOOKUP(DraftData[[#This Row],[Pick]],'Lookup Tables'!$A$2:$A$31,'Lookup Tables'!$B$2:$B$31)</f>
        <v>-8.5750000000000028</v>
      </c>
    </row>
    <row r="351" spans="1:26">
      <c r="A351">
        <v>2016</v>
      </c>
      <c r="B351">
        <v>20</v>
      </c>
      <c r="C351" t="s">
        <v>75</v>
      </c>
      <c r="D351" t="s">
        <v>508</v>
      </c>
      <c r="E351" t="s">
        <v>397</v>
      </c>
      <c r="F351">
        <v>303</v>
      </c>
      <c r="G351">
        <v>8318</v>
      </c>
      <c r="H351">
        <v>4444</v>
      </c>
      <c r="I351">
        <v>1158</v>
      </c>
      <c r="J351">
        <v>1197</v>
      </c>
      <c r="K351">
        <v>0.436</v>
      </c>
      <c r="L351">
        <v>0.33300000000000002</v>
      </c>
      <c r="M351">
        <v>0.73699999999999999</v>
      </c>
      <c r="N351">
        <v>11.6</v>
      </c>
      <c r="O351">
        <v>6.7000000000000004E-2</v>
      </c>
      <c r="P351">
        <v>-0.4</v>
      </c>
      <c r="Q351">
        <v>3.4</v>
      </c>
      <c r="R351">
        <v>27.5</v>
      </c>
      <c r="S351">
        <v>14.7</v>
      </c>
      <c r="T351">
        <v>3.8</v>
      </c>
      <c r="U351">
        <v>4</v>
      </c>
      <c r="V351" t="str">
        <f>IF(DraftData[[#This Row],[Pick]]&lt;=5,"Top 5",
IF(DraftData[[#This Row],[Pick]]&lt;=14,"Lottery",
IF(DraftData[[#This Row],[Pick]]&lt;=20,"Mid First","Late First")))</f>
        <v>Mid First</v>
      </c>
      <c r="W351" t="str">
        <f>IF(DraftData[[#This Row],[Win Shares]]&gt;=80,"Star",
IF(DraftData[[#This Row],[Win Shares]]&gt;=30,"Starter",
IF(DraftData[[#This Row],[Win Shares]]&gt;=10,"Rotation","Minimal")))</f>
        <v>Rotation</v>
      </c>
      <c r="X351" t="str">
        <f>IF(AND(DraftData[[#This Row],[Pick]]&lt;=14,DraftData[[#This Row],[Win Shares]]&lt;10),"Yes","No")</f>
        <v>No</v>
      </c>
      <c r="Y351" s="2">
        <f>DraftData[[#This Row],[Win Shares]]/DraftData[[#This Row],[Pick]]</f>
        <v>0.57999999999999996</v>
      </c>
      <c r="Z351" s="2">
        <f>DraftData[[#This Row],[Win Shares]]-_xlfn.XLOOKUP(DraftData[[#This Row],[Pick]],'Lookup Tables'!$A$2:$A$31,'Lookup Tables'!$B$2:$B$31)</f>
        <v>1.2083333333333321</v>
      </c>
    </row>
    <row r="352" spans="1:26">
      <c r="A352">
        <v>2016</v>
      </c>
      <c r="B352">
        <v>21</v>
      </c>
      <c r="C352" t="s">
        <v>39</v>
      </c>
      <c r="D352" t="s">
        <v>509</v>
      </c>
      <c r="E352" t="s">
        <v>510</v>
      </c>
      <c r="F352">
        <v>288</v>
      </c>
      <c r="G352">
        <v>5593</v>
      </c>
      <c r="H352">
        <v>1744</v>
      </c>
      <c r="I352">
        <v>939</v>
      </c>
      <c r="J352">
        <v>527</v>
      </c>
      <c r="K352">
        <v>0.47499999999999998</v>
      </c>
      <c r="L352">
        <v>0.28299999999999997</v>
      </c>
      <c r="M352">
        <v>0.61099999999999999</v>
      </c>
      <c r="N352">
        <v>4.4000000000000004</v>
      </c>
      <c r="O352">
        <v>3.7999999999999999E-2</v>
      </c>
      <c r="P352">
        <v>-2.2999999999999998</v>
      </c>
      <c r="Q352">
        <v>-0.4</v>
      </c>
      <c r="R352">
        <v>19.399999999999999</v>
      </c>
      <c r="S352">
        <v>6.1</v>
      </c>
      <c r="T352">
        <v>3.3</v>
      </c>
      <c r="U352">
        <v>1.8</v>
      </c>
      <c r="V352" t="str">
        <f>IF(DraftData[[#This Row],[Pick]]&lt;=5,"Top 5",
IF(DraftData[[#This Row],[Pick]]&lt;=14,"Lottery",
IF(DraftData[[#This Row],[Pick]]&lt;=20,"Mid First","Late First")))</f>
        <v>Late First</v>
      </c>
      <c r="W352" t="str">
        <f>IF(DraftData[[#This Row],[Win Shares]]&gt;=80,"Star",
IF(DraftData[[#This Row],[Win Shares]]&gt;=30,"Starter",
IF(DraftData[[#This Row],[Win Shares]]&gt;=10,"Rotation","Minimal")))</f>
        <v>Minimal</v>
      </c>
      <c r="X352" t="str">
        <f>IF(AND(DraftData[[#This Row],[Pick]]&lt;=14,DraftData[[#This Row],[Win Shares]]&lt;10),"Yes","No")</f>
        <v>No</v>
      </c>
      <c r="Y352" s="2">
        <f>DraftData[[#This Row],[Win Shares]]/DraftData[[#This Row],[Pick]]</f>
        <v>0.20952380952380953</v>
      </c>
      <c r="Z352" s="2">
        <f>DraftData[[#This Row],[Win Shares]]-_xlfn.XLOOKUP(DraftData[[#This Row],[Pick]],'Lookup Tables'!$A$2:$A$31,'Lookup Tables'!$B$2:$B$31)</f>
        <v>-16.100000000000001</v>
      </c>
    </row>
    <row r="353" spans="1:26">
      <c r="A353">
        <v>2016</v>
      </c>
      <c r="B353">
        <v>22</v>
      </c>
      <c r="C353" t="s">
        <v>48</v>
      </c>
      <c r="D353" t="s">
        <v>511</v>
      </c>
      <c r="E353" t="s">
        <v>82</v>
      </c>
      <c r="F353">
        <v>70</v>
      </c>
      <c r="G353">
        <v>625</v>
      </c>
      <c r="H353">
        <v>198</v>
      </c>
      <c r="I353">
        <v>70</v>
      </c>
      <c r="J353">
        <v>24</v>
      </c>
      <c r="K353">
        <v>0.35799999999999998</v>
      </c>
      <c r="L353">
        <v>0.30099999999999999</v>
      </c>
      <c r="M353">
        <v>0.78300000000000003</v>
      </c>
      <c r="N353">
        <v>-0.1</v>
      </c>
      <c r="O353">
        <v>-8.9999999999999993E-3</v>
      </c>
      <c r="P353">
        <v>-6.1</v>
      </c>
      <c r="Q353">
        <v>-0.7</v>
      </c>
      <c r="R353">
        <v>8.9</v>
      </c>
      <c r="S353">
        <v>2.8</v>
      </c>
      <c r="T353">
        <v>1</v>
      </c>
      <c r="U353">
        <v>0.3</v>
      </c>
      <c r="V353" t="str">
        <f>IF(DraftData[[#This Row],[Pick]]&lt;=5,"Top 5",
IF(DraftData[[#This Row],[Pick]]&lt;=14,"Lottery",
IF(DraftData[[#This Row],[Pick]]&lt;=20,"Mid First","Late First")))</f>
        <v>Late First</v>
      </c>
      <c r="W353" t="str">
        <f>IF(DraftData[[#This Row],[Win Shares]]&gt;=80,"Star",
IF(DraftData[[#This Row],[Win Shares]]&gt;=30,"Starter",
IF(DraftData[[#This Row],[Win Shares]]&gt;=10,"Rotation","Minimal")))</f>
        <v>Minimal</v>
      </c>
      <c r="X353" t="str">
        <f>IF(AND(DraftData[[#This Row],[Pick]]&lt;=14,DraftData[[#This Row],[Win Shares]]&lt;10),"Yes","No")</f>
        <v>No</v>
      </c>
      <c r="Y353" s="2">
        <f>DraftData[[#This Row],[Win Shares]]/DraftData[[#This Row],[Pick]]</f>
        <v>-4.5454545454545461E-3</v>
      </c>
      <c r="Z353" s="2">
        <f>DraftData[[#This Row],[Win Shares]]-_xlfn.XLOOKUP(DraftData[[#This Row],[Pick]],'Lookup Tables'!$A$2:$A$31,'Lookup Tables'!$B$2:$B$31)</f>
        <v>-18.583333333333339</v>
      </c>
    </row>
    <row r="354" spans="1:26">
      <c r="A354">
        <v>2016</v>
      </c>
      <c r="B354">
        <v>23</v>
      </c>
      <c r="C354" t="s">
        <v>78</v>
      </c>
      <c r="D354" t="s">
        <v>512</v>
      </c>
      <c r="F354">
        <v>113</v>
      </c>
      <c r="G354">
        <v>1517</v>
      </c>
      <c r="H354">
        <v>674</v>
      </c>
      <c r="I354">
        <v>446</v>
      </c>
      <c r="J354">
        <v>64</v>
      </c>
      <c r="K354">
        <v>0.58099999999999996</v>
      </c>
      <c r="M354">
        <v>0.71099999999999997</v>
      </c>
      <c r="N354">
        <v>3.5</v>
      </c>
      <c r="O354">
        <v>0.11</v>
      </c>
      <c r="P354">
        <v>-2.6</v>
      </c>
      <c r="Q354">
        <v>-0.2</v>
      </c>
      <c r="R354">
        <v>13.4</v>
      </c>
      <c r="S354">
        <v>6</v>
      </c>
      <c r="T354">
        <v>3.9</v>
      </c>
      <c r="U354">
        <v>0.6</v>
      </c>
      <c r="V354" t="str">
        <f>IF(DraftData[[#This Row],[Pick]]&lt;=5,"Top 5",
IF(DraftData[[#This Row],[Pick]]&lt;=14,"Lottery",
IF(DraftData[[#This Row],[Pick]]&lt;=20,"Mid First","Late First")))</f>
        <v>Late First</v>
      </c>
      <c r="W354" t="str">
        <f>IF(DraftData[[#This Row],[Win Shares]]&gt;=80,"Star",
IF(DraftData[[#This Row],[Win Shares]]&gt;=30,"Starter",
IF(DraftData[[#This Row],[Win Shares]]&gt;=10,"Rotation","Minimal")))</f>
        <v>Minimal</v>
      </c>
      <c r="X354" t="str">
        <f>IF(AND(DraftData[[#This Row],[Pick]]&lt;=14,DraftData[[#This Row],[Win Shares]]&lt;10),"Yes","No")</f>
        <v>No</v>
      </c>
      <c r="Y354" s="2">
        <f>DraftData[[#This Row],[Win Shares]]/DraftData[[#This Row],[Pick]]</f>
        <v>0.15217391304347827</v>
      </c>
      <c r="Z354" s="2">
        <f>DraftData[[#This Row],[Win Shares]]-_xlfn.XLOOKUP(DraftData[[#This Row],[Pick]],'Lookup Tables'!$A$2:$A$31,'Lookup Tables'!$B$2:$B$31)</f>
        <v>-13.141666666666666</v>
      </c>
    </row>
    <row r="355" spans="1:26">
      <c r="A355">
        <v>2016</v>
      </c>
      <c r="B355">
        <v>24</v>
      </c>
      <c r="C355" t="s">
        <v>129</v>
      </c>
      <c r="D355" t="s">
        <v>513</v>
      </c>
      <c r="F355">
        <v>312</v>
      </c>
      <c r="G355">
        <v>5021</v>
      </c>
      <c r="H355">
        <v>1859</v>
      </c>
      <c r="I355">
        <v>623</v>
      </c>
      <c r="J355">
        <v>279</v>
      </c>
      <c r="K355">
        <v>0.39</v>
      </c>
      <c r="L355">
        <v>0.33400000000000002</v>
      </c>
      <c r="M355">
        <v>0.82799999999999996</v>
      </c>
      <c r="N355">
        <v>4.3</v>
      </c>
      <c r="O355">
        <v>4.1000000000000002E-2</v>
      </c>
      <c r="P355">
        <v>-4.0999999999999996</v>
      </c>
      <c r="Q355">
        <v>-2.6</v>
      </c>
      <c r="R355">
        <v>16.100000000000001</v>
      </c>
      <c r="S355">
        <v>6</v>
      </c>
      <c r="T355">
        <v>2</v>
      </c>
      <c r="U355">
        <v>0.9</v>
      </c>
      <c r="V355" t="str">
        <f>IF(DraftData[[#This Row],[Pick]]&lt;=5,"Top 5",
IF(DraftData[[#This Row],[Pick]]&lt;=14,"Lottery",
IF(DraftData[[#This Row],[Pick]]&lt;=20,"Mid First","Late First")))</f>
        <v>Late First</v>
      </c>
      <c r="W355" t="str">
        <f>IF(DraftData[[#This Row],[Win Shares]]&gt;=80,"Star",
IF(DraftData[[#This Row],[Win Shares]]&gt;=30,"Starter",
IF(DraftData[[#This Row],[Win Shares]]&gt;=10,"Rotation","Minimal")))</f>
        <v>Minimal</v>
      </c>
      <c r="X355" t="str">
        <f>IF(AND(DraftData[[#This Row],[Pick]]&lt;=14,DraftData[[#This Row],[Win Shares]]&lt;10),"Yes","No")</f>
        <v>No</v>
      </c>
      <c r="Y355" s="2">
        <f>DraftData[[#This Row],[Win Shares]]/DraftData[[#This Row],[Pick]]</f>
        <v>0.17916666666666667</v>
      </c>
      <c r="Z355" s="2">
        <f>DraftData[[#This Row],[Win Shares]]-_xlfn.XLOOKUP(DraftData[[#This Row],[Pick]],'Lookup Tables'!$A$2:$A$31,'Lookup Tables'!$B$2:$B$31)</f>
        <v>-20.2</v>
      </c>
    </row>
    <row r="356" spans="1:26">
      <c r="A356">
        <v>2016</v>
      </c>
      <c r="B356">
        <v>25</v>
      </c>
      <c r="C356" t="s">
        <v>65</v>
      </c>
      <c r="D356" t="s">
        <v>514</v>
      </c>
      <c r="E356" t="s">
        <v>41</v>
      </c>
      <c r="F356">
        <v>21</v>
      </c>
      <c r="G356">
        <v>107</v>
      </c>
      <c r="H356">
        <v>47</v>
      </c>
      <c r="I356">
        <v>34</v>
      </c>
      <c r="J356">
        <v>3</v>
      </c>
      <c r="K356">
        <v>0.44900000000000001</v>
      </c>
      <c r="L356">
        <v>0</v>
      </c>
      <c r="M356">
        <v>0.6</v>
      </c>
      <c r="N356">
        <v>0.1</v>
      </c>
      <c r="O356">
        <v>6.2E-2</v>
      </c>
      <c r="P356">
        <v>-0.6</v>
      </c>
      <c r="Q356">
        <v>0</v>
      </c>
      <c r="R356">
        <v>5.0999999999999996</v>
      </c>
      <c r="S356">
        <v>2.2000000000000002</v>
      </c>
      <c r="T356">
        <v>1.6</v>
      </c>
      <c r="U356">
        <v>0.1</v>
      </c>
      <c r="V356" t="str">
        <f>IF(DraftData[[#This Row],[Pick]]&lt;=5,"Top 5",
IF(DraftData[[#This Row],[Pick]]&lt;=14,"Lottery",
IF(DraftData[[#This Row],[Pick]]&lt;=20,"Mid First","Late First")))</f>
        <v>Late First</v>
      </c>
      <c r="W356" t="str">
        <f>IF(DraftData[[#This Row],[Win Shares]]&gt;=80,"Star",
IF(DraftData[[#This Row],[Win Shares]]&gt;=30,"Starter",
IF(DraftData[[#This Row],[Win Shares]]&gt;=10,"Rotation","Minimal")))</f>
        <v>Minimal</v>
      </c>
      <c r="X356" t="str">
        <f>IF(AND(DraftData[[#This Row],[Pick]]&lt;=14,DraftData[[#This Row],[Win Shares]]&lt;10),"Yes","No")</f>
        <v>No</v>
      </c>
      <c r="Y356" s="2">
        <f>DraftData[[#This Row],[Win Shares]]/DraftData[[#This Row],[Pick]]</f>
        <v>4.0000000000000001E-3</v>
      </c>
      <c r="Z356" s="2">
        <f>DraftData[[#This Row],[Win Shares]]-_xlfn.XLOOKUP(DraftData[[#This Row],[Pick]],'Lookup Tables'!$A$2:$A$31,'Lookup Tables'!$B$2:$B$31)</f>
        <v>-12.799999999999999</v>
      </c>
    </row>
    <row r="357" spans="1:26">
      <c r="A357">
        <v>2016</v>
      </c>
      <c r="B357">
        <v>26</v>
      </c>
      <c r="C357" t="s">
        <v>129</v>
      </c>
      <c r="D357" t="s">
        <v>515</v>
      </c>
      <c r="F357">
        <v>240</v>
      </c>
      <c r="G357">
        <v>4603</v>
      </c>
      <c r="H357">
        <v>1961</v>
      </c>
      <c r="I357">
        <v>553</v>
      </c>
      <c r="J357">
        <v>333</v>
      </c>
      <c r="K357">
        <v>0.40699999999999997</v>
      </c>
      <c r="L357">
        <v>0.35899999999999999</v>
      </c>
      <c r="M357">
        <v>0.77300000000000002</v>
      </c>
      <c r="N357">
        <v>7.3</v>
      </c>
      <c r="O357">
        <v>7.5999999999999998E-2</v>
      </c>
      <c r="P357">
        <v>-1.6</v>
      </c>
      <c r="Q357">
        <v>0.5</v>
      </c>
      <c r="R357">
        <v>19.2</v>
      </c>
      <c r="S357">
        <v>8.1999999999999993</v>
      </c>
      <c r="T357">
        <v>2.2999999999999998</v>
      </c>
      <c r="U357">
        <v>1.4</v>
      </c>
      <c r="V357" t="str">
        <f>IF(DraftData[[#This Row],[Pick]]&lt;=5,"Top 5",
IF(DraftData[[#This Row],[Pick]]&lt;=14,"Lottery",
IF(DraftData[[#This Row],[Pick]]&lt;=20,"Mid First","Late First")))</f>
        <v>Late First</v>
      </c>
      <c r="W357" t="str">
        <f>IF(DraftData[[#This Row],[Win Shares]]&gt;=80,"Star",
IF(DraftData[[#This Row],[Win Shares]]&gt;=30,"Starter",
IF(DraftData[[#This Row],[Win Shares]]&gt;=10,"Rotation","Minimal")))</f>
        <v>Minimal</v>
      </c>
      <c r="X357" t="str">
        <f>IF(AND(DraftData[[#This Row],[Pick]]&lt;=14,DraftData[[#This Row],[Win Shares]]&lt;10),"Yes","No")</f>
        <v>No</v>
      </c>
      <c r="Y357" s="2">
        <f>DraftData[[#This Row],[Win Shares]]/DraftData[[#This Row],[Pick]]</f>
        <v>0.28076923076923077</v>
      </c>
      <c r="Z357" s="2">
        <f>DraftData[[#This Row],[Win Shares]]-_xlfn.XLOOKUP(DraftData[[#This Row],[Pick]],'Lookup Tables'!$A$2:$A$31,'Lookup Tables'!$B$2:$B$31)</f>
        <v>-13.100000000000001</v>
      </c>
    </row>
    <row r="358" spans="1:26">
      <c r="A358">
        <v>2016</v>
      </c>
      <c r="B358">
        <v>27</v>
      </c>
      <c r="C358" t="s">
        <v>52</v>
      </c>
      <c r="D358" t="s">
        <v>516</v>
      </c>
      <c r="E358" t="s">
        <v>517</v>
      </c>
      <c r="F358">
        <v>376</v>
      </c>
      <c r="G358">
        <v>10866</v>
      </c>
      <c r="H358">
        <v>5703</v>
      </c>
      <c r="I358">
        <v>2323</v>
      </c>
      <c r="J358">
        <v>1110</v>
      </c>
      <c r="K358">
        <v>0.48899999999999999</v>
      </c>
      <c r="L358">
        <v>0.32800000000000001</v>
      </c>
      <c r="M358">
        <v>0.77400000000000002</v>
      </c>
      <c r="N358">
        <v>30.2</v>
      </c>
      <c r="O358">
        <v>0.13400000000000001</v>
      </c>
      <c r="P358">
        <v>1.5</v>
      </c>
      <c r="Q358">
        <v>9.6999999999999993</v>
      </c>
      <c r="R358">
        <v>28.9</v>
      </c>
      <c r="S358">
        <v>15.2</v>
      </c>
      <c r="T358">
        <v>6.2</v>
      </c>
      <c r="U358">
        <v>3</v>
      </c>
      <c r="V358" t="str">
        <f>IF(DraftData[[#This Row],[Pick]]&lt;=5,"Top 5",
IF(DraftData[[#This Row],[Pick]]&lt;=14,"Lottery",
IF(DraftData[[#This Row],[Pick]]&lt;=20,"Mid First","Late First")))</f>
        <v>Late First</v>
      </c>
      <c r="W358" t="str">
        <f>IF(DraftData[[#This Row],[Win Shares]]&gt;=80,"Star",
IF(DraftData[[#This Row],[Win Shares]]&gt;=30,"Starter",
IF(DraftData[[#This Row],[Win Shares]]&gt;=10,"Rotation","Minimal")))</f>
        <v>Starter</v>
      </c>
      <c r="X358" t="str">
        <f>IF(AND(DraftData[[#This Row],[Pick]]&lt;=14,DraftData[[#This Row],[Win Shares]]&lt;10),"Yes","No")</f>
        <v>No</v>
      </c>
      <c r="Y358" s="2">
        <f>DraftData[[#This Row],[Win Shares]]/DraftData[[#This Row],[Pick]]</f>
        <v>1.1185185185185185</v>
      </c>
      <c r="Z358" s="2">
        <f>DraftData[[#This Row],[Win Shares]]-_xlfn.XLOOKUP(DraftData[[#This Row],[Pick]],'Lookup Tables'!$A$2:$A$31,'Lookup Tables'!$B$2:$B$31)</f>
        <v>9.091666666666665</v>
      </c>
    </row>
    <row r="359" spans="1:26">
      <c r="A359">
        <v>2016</v>
      </c>
      <c r="B359">
        <v>28</v>
      </c>
      <c r="C359" t="s">
        <v>86</v>
      </c>
      <c r="D359" t="s">
        <v>518</v>
      </c>
      <c r="E359" t="s">
        <v>144</v>
      </c>
      <c r="F359">
        <v>148</v>
      </c>
      <c r="G359">
        <v>2595</v>
      </c>
      <c r="H359">
        <v>1069</v>
      </c>
      <c r="I359">
        <v>662</v>
      </c>
      <c r="J359">
        <v>152</v>
      </c>
      <c r="K359">
        <v>0.49199999999999999</v>
      </c>
      <c r="L359">
        <v>0.35299999999999998</v>
      </c>
      <c r="M359">
        <v>0.748</v>
      </c>
      <c r="N359">
        <v>4.4000000000000004</v>
      </c>
      <c r="O359">
        <v>8.1000000000000003E-2</v>
      </c>
      <c r="P359">
        <v>-2.2999999999999998</v>
      </c>
      <c r="Q359">
        <v>-0.2</v>
      </c>
      <c r="R359">
        <v>17.5</v>
      </c>
      <c r="S359">
        <v>7.2</v>
      </c>
      <c r="T359">
        <v>4.5</v>
      </c>
      <c r="U359">
        <v>1</v>
      </c>
      <c r="V359" t="str">
        <f>IF(DraftData[[#This Row],[Pick]]&lt;=5,"Top 5",
IF(DraftData[[#This Row],[Pick]]&lt;=14,"Lottery",
IF(DraftData[[#This Row],[Pick]]&lt;=20,"Mid First","Late First")))</f>
        <v>Late First</v>
      </c>
      <c r="W359" t="str">
        <f>IF(DraftData[[#This Row],[Win Shares]]&gt;=80,"Star",
IF(DraftData[[#This Row],[Win Shares]]&gt;=30,"Starter",
IF(DraftData[[#This Row],[Win Shares]]&gt;=10,"Rotation","Minimal")))</f>
        <v>Minimal</v>
      </c>
      <c r="X359" t="str">
        <f>IF(AND(DraftData[[#This Row],[Pick]]&lt;=14,DraftData[[#This Row],[Win Shares]]&lt;10),"Yes","No")</f>
        <v>No</v>
      </c>
      <c r="Y359" s="2">
        <f>DraftData[[#This Row],[Win Shares]]/DraftData[[#This Row],[Pick]]</f>
        <v>0.15714285714285717</v>
      </c>
      <c r="Z359" s="2">
        <f>DraftData[[#This Row],[Win Shares]]-_xlfn.XLOOKUP(DraftData[[#This Row],[Pick]],'Lookup Tables'!$A$2:$A$31,'Lookup Tables'!$B$2:$B$31)</f>
        <v>-4.245454545454546</v>
      </c>
    </row>
    <row r="360" spans="1:26">
      <c r="A360">
        <v>2016</v>
      </c>
      <c r="B360">
        <v>29</v>
      </c>
      <c r="C360" t="s">
        <v>103</v>
      </c>
      <c r="D360" t="s">
        <v>519</v>
      </c>
      <c r="E360" t="s">
        <v>88</v>
      </c>
      <c r="F360">
        <v>304</v>
      </c>
      <c r="G360">
        <v>7681</v>
      </c>
      <c r="H360">
        <v>3591</v>
      </c>
      <c r="I360">
        <v>1789</v>
      </c>
      <c r="J360">
        <v>1399</v>
      </c>
      <c r="K360">
        <v>0.45400000000000001</v>
      </c>
      <c r="L360">
        <v>0.32800000000000001</v>
      </c>
      <c r="M360">
        <v>0.75800000000000001</v>
      </c>
      <c r="N360">
        <v>14.8</v>
      </c>
      <c r="O360">
        <v>9.1999999999999998E-2</v>
      </c>
      <c r="P360">
        <v>1.5</v>
      </c>
      <c r="Q360">
        <v>6.7</v>
      </c>
      <c r="R360">
        <v>25.3</v>
      </c>
      <c r="S360">
        <v>11.8</v>
      </c>
      <c r="T360">
        <v>5.9</v>
      </c>
      <c r="U360">
        <v>4.5999999999999996</v>
      </c>
      <c r="V360" t="str">
        <f>IF(DraftData[[#This Row],[Pick]]&lt;=5,"Top 5",
IF(DraftData[[#This Row],[Pick]]&lt;=14,"Lottery",
IF(DraftData[[#This Row],[Pick]]&lt;=20,"Mid First","Late First")))</f>
        <v>Late First</v>
      </c>
      <c r="W360" t="str">
        <f>IF(DraftData[[#This Row],[Win Shares]]&gt;=80,"Star",
IF(DraftData[[#This Row],[Win Shares]]&gt;=30,"Starter",
IF(DraftData[[#This Row],[Win Shares]]&gt;=10,"Rotation","Minimal")))</f>
        <v>Rotation</v>
      </c>
      <c r="X360" t="str">
        <f>IF(AND(DraftData[[#This Row],[Pick]]&lt;=14,DraftData[[#This Row],[Win Shares]]&lt;10),"Yes","No")</f>
        <v>No</v>
      </c>
      <c r="Y360" s="2">
        <f>DraftData[[#This Row],[Win Shares]]/DraftData[[#This Row],[Pick]]</f>
        <v>0.51034482758620692</v>
      </c>
      <c r="Z360" s="2">
        <f>DraftData[[#This Row],[Win Shares]]-_xlfn.XLOOKUP(DraftData[[#This Row],[Pick]],'Lookup Tables'!$A$2:$A$31,'Lookup Tables'!$B$2:$B$31)</f>
        <v>9.7333333333333343</v>
      </c>
    </row>
    <row r="361" spans="1:26">
      <c r="A361">
        <v>2016</v>
      </c>
      <c r="B361">
        <v>30</v>
      </c>
      <c r="C361" t="s">
        <v>58</v>
      </c>
      <c r="D361" t="s">
        <v>520</v>
      </c>
      <c r="E361" t="s">
        <v>376</v>
      </c>
      <c r="F361">
        <v>180</v>
      </c>
      <c r="G361">
        <v>2582</v>
      </c>
      <c r="H361">
        <v>896</v>
      </c>
      <c r="I361">
        <v>585</v>
      </c>
      <c r="J361">
        <v>136</v>
      </c>
      <c r="K361">
        <v>0.66100000000000003</v>
      </c>
      <c r="L361">
        <v>0.28599999999999998</v>
      </c>
      <c r="M361">
        <v>0.7</v>
      </c>
      <c r="N361">
        <v>7.6</v>
      </c>
      <c r="O361">
        <v>0.14099999999999999</v>
      </c>
      <c r="P361">
        <v>-1.3</v>
      </c>
      <c r="Q361">
        <v>0.4</v>
      </c>
      <c r="R361">
        <v>14.3</v>
      </c>
      <c r="S361">
        <v>5</v>
      </c>
      <c r="T361">
        <v>3.3</v>
      </c>
      <c r="U361">
        <v>0.8</v>
      </c>
      <c r="V361" t="str">
        <f>IF(DraftData[[#This Row],[Pick]]&lt;=5,"Top 5",
IF(DraftData[[#This Row],[Pick]]&lt;=14,"Lottery",
IF(DraftData[[#This Row],[Pick]]&lt;=20,"Mid First","Late First")))</f>
        <v>Late First</v>
      </c>
      <c r="W361" t="str">
        <f>IF(DraftData[[#This Row],[Win Shares]]&gt;=80,"Star",
IF(DraftData[[#This Row],[Win Shares]]&gt;=30,"Starter",
IF(DraftData[[#This Row],[Win Shares]]&gt;=10,"Rotation","Minimal")))</f>
        <v>Minimal</v>
      </c>
      <c r="X361" t="str">
        <f>IF(AND(DraftData[[#This Row],[Pick]]&lt;=14,DraftData[[#This Row],[Win Shares]]&lt;10),"Yes","No")</f>
        <v>No</v>
      </c>
      <c r="Y361" s="2">
        <f>DraftData[[#This Row],[Win Shares]]/DraftData[[#This Row],[Pick]]</f>
        <v>0.2533333333333333</v>
      </c>
      <c r="Z361" s="2">
        <f>DraftData[[#This Row],[Win Shares]]-_xlfn.XLOOKUP(DraftData[[#This Row],[Pick]],'Lookup Tables'!$A$2:$A$31,'Lookup Tables'!$B$2:$B$31)</f>
        <v>-13.118181818181816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9F1EA-D6EF-44D1-ADC5-23A3700AEB8B}">
  <dimension ref="A1"/>
  <sheetViews>
    <sheetView showGridLines="0" workbookViewId="0">
      <selection activeCell="A13" sqref="A13"/>
    </sheetView>
  </sheetViews>
  <sheetFormatPr defaultRowHeight="15"/>
  <cols>
    <col min="1" max="1" width="78.140625" customWidth="1"/>
  </cols>
  <sheetData>
    <row r="1" spans="1:1" ht="103.5">
      <c r="A1" s="9" t="s">
        <v>521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8034A-11FE-49CB-87F4-680FE61254A9}">
  <dimension ref="A2:D69"/>
  <sheetViews>
    <sheetView topLeftCell="A43" workbookViewId="0">
      <selection activeCell="G40" sqref="G40"/>
    </sheetView>
  </sheetViews>
  <sheetFormatPr defaultRowHeight="15"/>
  <cols>
    <col min="1" max="1" width="11.7109375" bestFit="1" customWidth="1"/>
    <col min="2" max="2" width="21.7109375" customWidth="1"/>
    <col min="3" max="3" width="4.140625" bestFit="1" customWidth="1"/>
    <col min="4" max="4" width="11.7109375" bestFit="1" customWidth="1"/>
  </cols>
  <sheetData>
    <row r="2" spans="1:2">
      <c r="A2" s="3" t="s">
        <v>31</v>
      </c>
      <c r="B2" t="s">
        <v>522</v>
      </c>
    </row>
    <row r="3" spans="1:2">
      <c r="A3" t="s">
        <v>523</v>
      </c>
      <c r="B3" s="2">
        <v>16.904273504273505</v>
      </c>
    </row>
    <row r="4" spans="1:2">
      <c r="A4" t="s">
        <v>524</v>
      </c>
      <c r="B4" s="2">
        <v>25.036448598130843</v>
      </c>
    </row>
    <row r="5" spans="1:2">
      <c r="A5" t="s">
        <v>525</v>
      </c>
      <c r="B5" s="2">
        <v>17.55972222222222</v>
      </c>
    </row>
    <row r="6" spans="1:2">
      <c r="A6" t="s">
        <v>526</v>
      </c>
      <c r="B6" s="2">
        <v>42.811666666666639</v>
      </c>
    </row>
    <row r="7" spans="1:2">
      <c r="A7" t="s">
        <v>527</v>
      </c>
      <c r="B7" s="2">
        <v>23.847471910112372</v>
      </c>
    </row>
    <row r="8" spans="1:2">
      <c r="B8" s="2"/>
    </row>
    <row r="9" spans="1:2">
      <c r="A9" s="3" t="s">
        <v>31</v>
      </c>
      <c r="B9" s="2" t="s">
        <v>528</v>
      </c>
    </row>
    <row r="10" spans="1:2">
      <c r="A10" t="s">
        <v>523</v>
      </c>
      <c r="B10" s="2">
        <v>353.17094017094018</v>
      </c>
    </row>
    <row r="11" spans="1:2">
      <c r="A11" t="s">
        <v>524</v>
      </c>
      <c r="B11" s="2">
        <v>485.15887850467288</v>
      </c>
    </row>
    <row r="12" spans="1:2">
      <c r="A12" t="s">
        <v>525</v>
      </c>
      <c r="B12" s="2">
        <v>397.31944444444446</v>
      </c>
    </row>
    <row r="13" spans="1:2">
      <c r="A13" t="s">
        <v>526</v>
      </c>
      <c r="B13" s="2">
        <v>569.36666666666667</v>
      </c>
    </row>
    <row r="14" spans="1:2">
      <c r="A14" t="s">
        <v>527</v>
      </c>
      <c r="B14" s="2">
        <v>438.20786516853934</v>
      </c>
    </row>
    <row r="15" spans="1:2">
      <c r="B15" s="2"/>
    </row>
    <row r="16" spans="1:2">
      <c r="A16" s="3" t="s">
        <v>31</v>
      </c>
      <c r="B16" s="2" t="s">
        <v>529</v>
      </c>
    </row>
    <row r="17" spans="1:4">
      <c r="A17" t="s">
        <v>523</v>
      </c>
      <c r="B17" s="2">
        <v>-1.7504273504273502</v>
      </c>
    </row>
    <row r="18" spans="1:4">
      <c r="A18" t="s">
        <v>524</v>
      </c>
      <c r="B18" s="2">
        <v>-0.82149532710280337</v>
      </c>
    </row>
    <row r="19" spans="1:4">
      <c r="A19" t="s">
        <v>525</v>
      </c>
      <c r="B19" s="2">
        <v>-1.7222222222222228</v>
      </c>
    </row>
    <row r="20" spans="1:4">
      <c r="A20" t="s">
        <v>526</v>
      </c>
      <c r="B20" s="2">
        <v>0.43666666666666681</v>
      </c>
    </row>
    <row r="21" spans="1:4">
      <c r="A21" t="s">
        <v>527</v>
      </c>
      <c r="B21" s="2">
        <v>-1.0969101123595502</v>
      </c>
    </row>
    <row r="23" spans="1:4">
      <c r="A23" s="3" t="s">
        <v>530</v>
      </c>
      <c r="B23" s="3" t="s">
        <v>33</v>
      </c>
    </row>
    <row r="24" spans="1:4">
      <c r="A24" s="3" t="s">
        <v>31</v>
      </c>
      <c r="B24" t="s">
        <v>531</v>
      </c>
      <c r="C24" t="s">
        <v>532</v>
      </c>
      <c r="D24" t="s">
        <v>527</v>
      </c>
    </row>
    <row r="25" spans="1:4">
      <c r="A25" t="s">
        <v>523</v>
      </c>
      <c r="B25">
        <v>120</v>
      </c>
      <c r="D25">
        <v>120</v>
      </c>
    </row>
    <row r="26" spans="1:4">
      <c r="A26" t="s">
        <v>524</v>
      </c>
      <c r="B26">
        <v>72</v>
      </c>
      <c r="C26">
        <v>36</v>
      </c>
      <c r="D26">
        <v>108</v>
      </c>
    </row>
    <row r="27" spans="1:4">
      <c r="A27" t="s">
        <v>525</v>
      </c>
      <c r="B27">
        <v>72</v>
      </c>
      <c r="D27">
        <v>72</v>
      </c>
    </row>
    <row r="28" spans="1:4">
      <c r="A28" t="s">
        <v>526</v>
      </c>
      <c r="B28">
        <v>48</v>
      </c>
      <c r="C28">
        <v>12</v>
      </c>
      <c r="D28">
        <v>60</v>
      </c>
    </row>
    <row r="29" spans="1:4">
      <c r="A29" t="s">
        <v>527</v>
      </c>
      <c r="B29">
        <v>312</v>
      </c>
      <c r="C29">
        <v>48</v>
      </c>
      <c r="D29">
        <v>360</v>
      </c>
    </row>
    <row r="31" spans="1:4">
      <c r="A31" s="3" t="s">
        <v>32</v>
      </c>
      <c r="B31" t="s">
        <v>533</v>
      </c>
    </row>
    <row r="32" spans="1:4">
      <c r="A32" t="s">
        <v>534</v>
      </c>
      <c r="B32">
        <v>147</v>
      </c>
    </row>
    <row r="33" spans="1:2">
      <c r="A33" t="s">
        <v>535</v>
      </c>
      <c r="B33">
        <v>116</v>
      </c>
    </row>
    <row r="34" spans="1:2">
      <c r="A34" t="s">
        <v>536</v>
      </c>
      <c r="B34">
        <v>17</v>
      </c>
    </row>
    <row r="35" spans="1:2">
      <c r="A35" t="s">
        <v>537</v>
      </c>
      <c r="B35">
        <v>80</v>
      </c>
    </row>
    <row r="36" spans="1:2">
      <c r="A36" t="s">
        <v>527</v>
      </c>
      <c r="B36">
        <v>360</v>
      </c>
    </row>
    <row r="38" spans="1:2">
      <c r="A38" s="3" t="s">
        <v>11</v>
      </c>
      <c r="B38" s="2" t="s">
        <v>522</v>
      </c>
    </row>
    <row r="39" spans="1:2">
      <c r="A39">
        <v>1</v>
      </c>
      <c r="B39" s="2">
        <v>43.583333333333336</v>
      </c>
    </row>
    <row r="40" spans="1:2">
      <c r="A40">
        <v>2</v>
      </c>
      <c r="B40" s="2">
        <v>39.791666666666664</v>
      </c>
    </row>
    <row r="41" spans="1:2">
      <c r="A41">
        <v>3</v>
      </c>
      <c r="B41" s="2">
        <v>50.766666666666673</v>
      </c>
    </row>
    <row r="42" spans="1:2">
      <c r="A42">
        <v>4</v>
      </c>
      <c r="B42" s="2">
        <v>48.558333333333337</v>
      </c>
    </row>
    <row r="43" spans="1:2">
      <c r="A43">
        <v>5</v>
      </c>
      <c r="B43" s="2">
        <v>31.358333333333338</v>
      </c>
    </row>
    <row r="44" spans="1:2">
      <c r="A44">
        <v>6</v>
      </c>
      <c r="B44" s="2">
        <v>27.658333333333335</v>
      </c>
    </row>
    <row r="45" spans="1:2">
      <c r="A45">
        <v>7</v>
      </c>
      <c r="B45" s="2">
        <v>33.975000000000009</v>
      </c>
    </row>
    <row r="46" spans="1:2">
      <c r="A46">
        <v>8</v>
      </c>
      <c r="B46" s="2">
        <v>21.158333333333331</v>
      </c>
    </row>
    <row r="47" spans="1:2">
      <c r="A47">
        <v>9</v>
      </c>
      <c r="B47" s="2">
        <v>37.391666666666666</v>
      </c>
    </row>
    <row r="48" spans="1:2">
      <c r="A48">
        <v>10</v>
      </c>
      <c r="B48" s="2">
        <v>26.849999999999998</v>
      </c>
    </row>
    <row r="49" spans="1:2">
      <c r="A49">
        <v>11</v>
      </c>
      <c r="B49" s="2">
        <v>22.7</v>
      </c>
    </row>
    <row r="50" spans="1:2">
      <c r="A50">
        <v>12</v>
      </c>
      <c r="B50" s="2">
        <v>21.316666666666666</v>
      </c>
    </row>
    <row r="51" spans="1:2">
      <c r="A51">
        <v>13</v>
      </c>
      <c r="B51" s="2">
        <v>19.333333333333332</v>
      </c>
    </row>
    <row r="52" spans="1:2">
      <c r="A52">
        <v>14</v>
      </c>
      <c r="B52" s="2">
        <v>14.749999999999998</v>
      </c>
    </row>
    <row r="53" spans="1:2">
      <c r="A53">
        <v>15</v>
      </c>
      <c r="B53" s="2">
        <v>25.783333333333331</v>
      </c>
    </row>
    <row r="54" spans="1:2">
      <c r="A54">
        <v>16</v>
      </c>
      <c r="B54" s="2">
        <v>16.983333333333334</v>
      </c>
    </row>
    <row r="55" spans="1:2">
      <c r="A55">
        <v>17</v>
      </c>
      <c r="B55" s="2">
        <v>17.316666666666666</v>
      </c>
    </row>
    <row r="56" spans="1:2">
      <c r="A56">
        <v>18</v>
      </c>
      <c r="B56" s="2">
        <v>17.308333333333334</v>
      </c>
    </row>
    <row r="57" spans="1:2">
      <c r="A57">
        <v>19</v>
      </c>
      <c r="B57" s="2">
        <v>17.575000000000003</v>
      </c>
    </row>
    <row r="58" spans="1:2">
      <c r="A58">
        <v>20</v>
      </c>
      <c r="B58" s="2">
        <v>10.391666666666667</v>
      </c>
    </row>
    <row r="59" spans="1:2">
      <c r="A59">
        <v>21</v>
      </c>
      <c r="B59" s="2">
        <v>20.500000000000004</v>
      </c>
    </row>
    <row r="60" spans="1:2">
      <c r="A60">
        <v>22</v>
      </c>
      <c r="B60" s="2">
        <v>18.483333333333338</v>
      </c>
    </row>
    <row r="61" spans="1:2">
      <c r="A61">
        <v>23</v>
      </c>
      <c r="B61" s="2">
        <v>16.641666666666666</v>
      </c>
    </row>
    <row r="62" spans="1:2">
      <c r="A62">
        <v>24</v>
      </c>
      <c r="B62" s="2">
        <v>24.5</v>
      </c>
    </row>
    <row r="63" spans="1:2">
      <c r="A63">
        <v>25</v>
      </c>
      <c r="B63" s="2">
        <v>12.899999999999999</v>
      </c>
    </row>
    <row r="64" spans="1:2">
      <c r="A64">
        <v>26</v>
      </c>
      <c r="B64" s="2">
        <v>20.400000000000002</v>
      </c>
    </row>
    <row r="65" spans="1:2">
      <c r="A65">
        <v>27</v>
      </c>
      <c r="B65" s="2">
        <v>21.108333333333334</v>
      </c>
    </row>
    <row r="66" spans="1:2">
      <c r="A66">
        <v>28</v>
      </c>
      <c r="B66" s="2">
        <v>8.6454545454545464</v>
      </c>
    </row>
    <row r="67" spans="1:2">
      <c r="A67">
        <v>29</v>
      </c>
      <c r="B67" s="2">
        <v>5.0666666666666673</v>
      </c>
    </row>
    <row r="68" spans="1:2">
      <c r="A68">
        <v>30</v>
      </c>
      <c r="B68" s="2">
        <v>20.718181818181815</v>
      </c>
    </row>
    <row r="69" spans="1:2">
      <c r="A69" t="s">
        <v>527</v>
      </c>
      <c r="B69" s="2">
        <v>23.847471910112361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DAB88-EBF1-4C53-A5F7-9AF84943D296}">
  <dimension ref="A1"/>
  <sheetViews>
    <sheetView workbookViewId="0">
      <selection activeCell="O44" sqref="O44"/>
    </sheetView>
  </sheetViews>
  <sheetFormatPr defaultRowHeight="1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1557-E2CE-4207-879D-F77A17F8A77E}">
  <dimension ref="A1:B32"/>
  <sheetViews>
    <sheetView workbookViewId="0">
      <selection activeCell="H7" sqref="H7"/>
    </sheetView>
  </sheetViews>
  <sheetFormatPr defaultRowHeight="15"/>
  <cols>
    <col min="2" max="2" width="18.85546875" style="2" bestFit="1" customWidth="1"/>
  </cols>
  <sheetData>
    <row r="1" spans="1:2">
      <c r="A1" t="s">
        <v>11</v>
      </c>
      <c r="B1" s="2" t="s">
        <v>522</v>
      </c>
    </row>
    <row r="2" spans="1:2">
      <c r="A2">
        <v>1</v>
      </c>
      <c r="B2" s="2">
        <v>43.583333333333336</v>
      </c>
    </row>
    <row r="3" spans="1:2">
      <c r="A3">
        <v>2</v>
      </c>
      <c r="B3" s="2">
        <v>39.791666666666664</v>
      </c>
    </row>
    <row r="4" spans="1:2">
      <c r="A4">
        <v>3</v>
      </c>
      <c r="B4" s="2">
        <v>50.766666666666673</v>
      </c>
    </row>
    <row r="5" spans="1:2">
      <c r="A5">
        <v>4</v>
      </c>
      <c r="B5" s="2">
        <v>48.558333333333337</v>
      </c>
    </row>
    <row r="6" spans="1:2">
      <c r="A6">
        <v>5</v>
      </c>
      <c r="B6" s="2">
        <v>31.358333333333338</v>
      </c>
    </row>
    <row r="7" spans="1:2">
      <c r="A7">
        <v>6</v>
      </c>
      <c r="B7" s="2">
        <v>27.658333333333335</v>
      </c>
    </row>
    <row r="8" spans="1:2">
      <c r="A8">
        <v>7</v>
      </c>
      <c r="B8" s="2">
        <v>33.975000000000009</v>
      </c>
    </row>
    <row r="9" spans="1:2">
      <c r="A9">
        <v>8</v>
      </c>
      <c r="B9" s="2">
        <v>21.158333333333331</v>
      </c>
    </row>
    <row r="10" spans="1:2">
      <c r="A10">
        <v>9</v>
      </c>
      <c r="B10" s="2">
        <v>37.391666666666666</v>
      </c>
    </row>
    <row r="11" spans="1:2">
      <c r="A11">
        <v>10</v>
      </c>
      <c r="B11" s="2">
        <v>26.849999999999998</v>
      </c>
    </row>
    <row r="12" spans="1:2">
      <c r="A12">
        <v>11</v>
      </c>
      <c r="B12" s="2">
        <v>22.7</v>
      </c>
    </row>
    <row r="13" spans="1:2">
      <c r="A13">
        <v>12</v>
      </c>
      <c r="B13" s="2">
        <v>21.316666666666666</v>
      </c>
    </row>
    <row r="14" spans="1:2">
      <c r="A14">
        <v>13</v>
      </c>
      <c r="B14" s="2">
        <v>19.333333333333332</v>
      </c>
    </row>
    <row r="15" spans="1:2">
      <c r="A15">
        <v>14</v>
      </c>
      <c r="B15" s="2">
        <v>14.749999999999998</v>
      </c>
    </row>
    <row r="16" spans="1:2">
      <c r="A16">
        <v>15</v>
      </c>
      <c r="B16" s="2">
        <v>25.783333333333331</v>
      </c>
    </row>
    <row r="17" spans="1:2">
      <c r="A17">
        <v>16</v>
      </c>
      <c r="B17" s="2">
        <v>16.983333333333334</v>
      </c>
    </row>
    <row r="18" spans="1:2">
      <c r="A18">
        <v>17</v>
      </c>
      <c r="B18" s="2">
        <v>17.316666666666666</v>
      </c>
    </row>
    <row r="19" spans="1:2">
      <c r="A19">
        <v>18</v>
      </c>
      <c r="B19" s="2">
        <v>17.308333333333334</v>
      </c>
    </row>
    <row r="20" spans="1:2">
      <c r="A20">
        <v>19</v>
      </c>
      <c r="B20" s="2">
        <v>17.575000000000003</v>
      </c>
    </row>
    <row r="21" spans="1:2">
      <c r="A21">
        <v>20</v>
      </c>
      <c r="B21" s="2">
        <v>10.391666666666667</v>
      </c>
    </row>
    <row r="22" spans="1:2">
      <c r="A22">
        <v>21</v>
      </c>
      <c r="B22" s="2">
        <v>20.500000000000004</v>
      </c>
    </row>
    <row r="23" spans="1:2">
      <c r="A23">
        <v>22</v>
      </c>
      <c r="B23" s="2">
        <v>18.483333333333338</v>
      </c>
    </row>
    <row r="24" spans="1:2">
      <c r="A24">
        <v>23</v>
      </c>
      <c r="B24" s="2">
        <v>16.641666666666666</v>
      </c>
    </row>
    <row r="25" spans="1:2">
      <c r="A25">
        <v>24</v>
      </c>
      <c r="B25" s="2">
        <v>24.5</v>
      </c>
    </row>
    <row r="26" spans="1:2">
      <c r="A26">
        <v>25</v>
      </c>
      <c r="B26" s="2">
        <v>12.899999999999999</v>
      </c>
    </row>
    <row r="27" spans="1:2">
      <c r="A27">
        <v>26</v>
      </c>
      <c r="B27" s="2">
        <v>20.400000000000002</v>
      </c>
    </row>
    <row r="28" spans="1:2">
      <c r="A28">
        <v>27</v>
      </c>
      <c r="B28" s="2">
        <v>21.108333333333334</v>
      </c>
    </row>
    <row r="29" spans="1:2">
      <c r="A29">
        <v>28</v>
      </c>
      <c r="B29" s="2">
        <v>8.6454545454545464</v>
      </c>
    </row>
    <row r="30" spans="1:2">
      <c r="A30">
        <v>29</v>
      </c>
      <c r="B30" s="2">
        <v>5.0666666666666673</v>
      </c>
    </row>
    <row r="31" spans="1:2">
      <c r="A31">
        <v>30</v>
      </c>
      <c r="B31" s="2">
        <v>20.718181818181815</v>
      </c>
    </row>
    <row r="32" spans="1:2">
      <c r="A32" t="s">
        <v>527</v>
      </c>
      <c r="B32" s="2">
        <v>23.847471910112361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2026-07-18T19:47:18Z</dcterms:created>
  <dcterms:modified xsi:type="dcterms:W3CDTF">2026-07-29T20:29:17Z</dcterms:modified>
  <cp:category/>
  <cp:contentStatus/>
</cp:coreProperties>
</file>